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1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 filterPrivacy="1"/>
  <xr:revisionPtr revIDLastSave="0" documentId="13_ncr:1_{EB4EC123-EAFF-114F-B7B8-9E69A468C8E7}" xr6:coauthVersionLast="47" xr6:coauthVersionMax="47" xr10:uidLastSave="{00000000-0000-0000-0000-000000000000}"/>
  <bookViews>
    <workbookView xWindow="25220" yWindow="12600" windowWidth="26360" windowHeight="13980" activeTab="8" xr2:uid="{00000000-000D-0000-FFFF-FFFF00000000}"/>
  </bookViews>
  <sheets>
    <sheet name="eps0.5" sheetId="4" r:id="rId1"/>
    <sheet name="eps0.5_peddle" sheetId="16" r:id="rId2"/>
    <sheet name="eps0.1" sheetId="1" r:id="rId3"/>
    <sheet name="eps0.1_peddle" sheetId="11" r:id="rId4"/>
    <sheet name="eps0.05" sheetId="3" r:id="rId5"/>
    <sheet name="eps0.05_peddle" sheetId="12" r:id="rId6"/>
    <sheet name="eps0.01" sheetId="2" r:id="rId7"/>
    <sheet name="eps0.01_peddle" sheetId="13" r:id="rId8"/>
    <sheet name="eps0.001" sheetId="14" r:id="rId9"/>
    <sheet name="eps0.001_peddle" sheetId="17" r:id="rId10"/>
    <sheet name="all comparisons" sheetId="15" r:id="rId11"/>
    <sheet name="etaC_epsilon_plot" sheetId="1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4" l="1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3" i="14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4" i="2"/>
  <c r="R12" i="3"/>
  <c r="R13" i="3"/>
  <c r="R14" i="3"/>
  <c r="R15" i="3"/>
  <c r="R16" i="3"/>
  <c r="R17" i="3"/>
  <c r="R18" i="3"/>
  <c r="R19" i="3"/>
  <c r="R20" i="3"/>
  <c r="R21" i="3"/>
  <c r="R5" i="3"/>
  <c r="R6" i="3"/>
  <c r="R7" i="3"/>
  <c r="R8" i="3"/>
  <c r="R9" i="3"/>
  <c r="R10" i="3"/>
  <c r="R11" i="3"/>
  <c r="R4" i="3"/>
  <c r="P4" i="4"/>
  <c r="P5" i="4"/>
  <c r="P6" i="4"/>
  <c r="P7" i="4"/>
  <c r="P20" i="4"/>
  <c r="P21" i="4"/>
  <c r="P22" i="4"/>
  <c r="P23" i="4"/>
  <c r="P24" i="4"/>
  <c r="P3" i="4"/>
  <c r="T33" i="1"/>
  <c r="T34" i="1"/>
  <c r="T35" i="1"/>
  <c r="T36" i="1"/>
  <c r="T37" i="1"/>
  <c r="T6" i="1"/>
  <c r="T8" i="1"/>
  <c r="T4" i="1"/>
  <c r="L24" i="14"/>
  <c r="L25" i="14"/>
  <c r="L26" i="14"/>
  <c r="L27" i="14"/>
  <c r="L28" i="14"/>
  <c r="L19" i="14"/>
  <c r="L20" i="14"/>
  <c r="L21" i="14"/>
  <c r="L22" i="14"/>
  <c r="I14" i="3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L23" i="14"/>
  <c r="J4" i="4"/>
  <c r="J5" i="4"/>
  <c r="J6" i="4"/>
  <c r="J7" i="4"/>
  <c r="J8" i="4"/>
  <c r="J3" i="4"/>
  <c r="L19" i="3"/>
  <c r="L18" i="3"/>
  <c r="L17" i="3"/>
  <c r="L14" i="3"/>
  <c r="L15" i="3"/>
  <c r="L16" i="3"/>
  <c r="N29" i="2"/>
  <c r="N30" i="2"/>
  <c r="O38" i="1"/>
  <c r="N21" i="2"/>
  <c r="N22" i="2"/>
  <c r="N23" i="2"/>
  <c r="N24" i="2"/>
  <c r="N26" i="2"/>
  <c r="N27" i="2"/>
  <c r="N28" i="2"/>
  <c r="N31" i="2"/>
  <c r="N17" i="2"/>
  <c r="N18" i="2"/>
  <c r="N19" i="2"/>
  <c r="N16" i="2"/>
  <c r="O34" i="1"/>
  <c r="O35" i="1"/>
  <c r="O36" i="1"/>
  <c r="O37" i="1"/>
  <c r="O40" i="1"/>
  <c r="O41" i="1"/>
  <c r="O42" i="1"/>
  <c r="O33" i="1"/>
  <c r="O25" i="1"/>
  <c r="O26" i="1"/>
  <c r="O27" i="1"/>
  <c r="O28" i="1"/>
  <c r="O29" i="1"/>
  <c r="O30" i="1"/>
  <c r="N11" i="2"/>
  <c r="L10" i="14"/>
  <c r="H4" i="4"/>
  <c r="H5" i="4"/>
  <c r="H6" i="4"/>
  <c r="H7" i="4"/>
  <c r="H8" i="4"/>
  <c r="H3" i="4"/>
  <c r="L14" i="14"/>
  <c r="L16" i="14"/>
  <c r="O17" i="1"/>
  <c r="O18" i="1"/>
  <c r="O19" i="1"/>
  <c r="O14" i="1"/>
  <c r="O15" i="1"/>
  <c r="O16" i="1"/>
  <c r="L2" i="14" l="1"/>
  <c r="L3" i="14"/>
  <c r="L4" i="3"/>
  <c r="L5" i="3"/>
  <c r="L6" i="3"/>
  <c r="L7" i="3"/>
  <c r="L8" i="3"/>
  <c r="L9" i="3"/>
  <c r="L3" i="3"/>
  <c r="N4" i="2"/>
  <c r="N5" i="2"/>
  <c r="N6" i="2"/>
  <c r="N7" i="2"/>
  <c r="N8" i="2"/>
  <c r="N9" i="2"/>
  <c r="N3" i="2"/>
  <c r="L5" i="14"/>
  <c r="L6" i="14"/>
  <c r="L7" i="14"/>
  <c r="L8" i="14"/>
  <c r="L4" i="14"/>
  <c r="L11" i="3" l="1"/>
  <c r="I4" i="1"/>
  <c r="I5" i="1"/>
  <c r="I6" i="1"/>
  <c r="I7" i="1"/>
  <c r="I8" i="1"/>
  <c r="I9" i="1"/>
  <c r="I3" i="1"/>
  <c r="I4" i="3"/>
  <c r="I5" i="3"/>
  <c r="I6" i="3"/>
  <c r="I7" i="3"/>
  <c r="I8" i="3"/>
  <c r="I9" i="3"/>
  <c r="I3" i="3"/>
  <c r="I4" i="2"/>
  <c r="I5" i="2"/>
  <c r="I6" i="2"/>
  <c r="I7" i="2"/>
  <c r="I8" i="2"/>
  <c r="I9" i="2"/>
  <c r="I3" i="2"/>
  <c r="O4" i="1"/>
  <c r="O5" i="1"/>
  <c r="O6" i="1"/>
  <c r="O7" i="1"/>
  <c r="O8" i="1"/>
  <c r="O9" i="1"/>
  <c r="O3" i="1"/>
  <c r="G19" i="15"/>
  <c r="H19" i="15"/>
  <c r="I19" i="15"/>
  <c r="J19" i="15"/>
  <c r="L19" i="15"/>
  <c r="M19" i="15"/>
  <c r="R19" i="15"/>
  <c r="S19" i="15"/>
  <c r="T19" i="15"/>
  <c r="U19" i="15"/>
  <c r="W19" i="15"/>
  <c r="X19" i="15"/>
  <c r="AC19" i="15"/>
  <c r="AD19" i="15"/>
  <c r="C20" i="15"/>
  <c r="D20" i="15"/>
  <c r="F20" i="15"/>
  <c r="G20" i="15"/>
  <c r="L20" i="15"/>
  <c r="M20" i="15"/>
  <c r="N20" i="15"/>
  <c r="O20" i="15"/>
  <c r="Q20" i="15"/>
  <c r="R20" i="15"/>
  <c r="W20" i="15"/>
  <c r="X20" i="15"/>
  <c r="Y20" i="15"/>
  <c r="Z20" i="15"/>
  <c r="AB20" i="15"/>
  <c r="AC20" i="15"/>
  <c r="G21" i="15"/>
  <c r="H21" i="15"/>
  <c r="I21" i="15"/>
  <c r="K21" i="15"/>
  <c r="L21" i="15"/>
  <c r="R21" i="15"/>
  <c r="S21" i="15"/>
  <c r="T21" i="15"/>
  <c r="V21" i="15"/>
  <c r="W21" i="15"/>
  <c r="AC21" i="15"/>
  <c r="AD21" i="15"/>
  <c r="C22" i="15"/>
  <c r="F22" i="15"/>
  <c r="M22" i="15"/>
  <c r="N22" i="15"/>
  <c r="Q22" i="15"/>
  <c r="X22" i="15"/>
  <c r="Y22" i="15"/>
  <c r="AB22" i="15"/>
  <c r="B20" i="15"/>
  <c r="B19" i="15"/>
  <c r="AF12" i="15"/>
  <c r="C19" i="15" s="1"/>
  <c r="AF13" i="15"/>
  <c r="H20" i="15" s="1"/>
  <c r="AF14" i="15"/>
  <c r="M21" i="15" s="1"/>
  <c r="AF15" i="15"/>
  <c r="G22" i="15" s="1"/>
  <c r="AF11" i="15"/>
  <c r="H18" i="15" s="1"/>
  <c r="O11" i="1" l="1"/>
  <c r="D18" i="15"/>
  <c r="Y18" i="15"/>
  <c r="AC18" i="15"/>
  <c r="R18" i="15"/>
  <c r="G18" i="15"/>
  <c r="AB18" i="15"/>
  <c r="Q18" i="15"/>
  <c r="F18" i="15"/>
  <c r="AA22" i="15"/>
  <c r="P22" i="15"/>
  <c r="E22" i="15"/>
  <c r="AA18" i="15"/>
  <c r="P18" i="15"/>
  <c r="E18" i="15"/>
  <c r="Z22" i="15"/>
  <c r="O22" i="15"/>
  <c r="D22" i="15"/>
  <c r="U21" i="15"/>
  <c r="J21" i="15"/>
  <c r="AA20" i="15"/>
  <c r="P20" i="15"/>
  <c r="E20" i="15"/>
  <c r="V19" i="15"/>
  <c r="K19" i="15"/>
  <c r="Z18" i="15"/>
  <c r="N18" i="15"/>
  <c r="V22" i="15"/>
  <c r="K22" i="15"/>
  <c r="AB21" i="15"/>
  <c r="Q21" i="15"/>
  <c r="F21" i="15"/>
  <c r="K18" i="15"/>
  <c r="U18" i="15"/>
  <c r="J18" i="15"/>
  <c r="B22" i="15"/>
  <c r="T22" i="15"/>
  <c r="I22" i="15"/>
  <c r="Z21" i="15"/>
  <c r="O21" i="15"/>
  <c r="D21" i="15"/>
  <c r="U20" i="15"/>
  <c r="J20" i="15"/>
  <c r="AA19" i="15"/>
  <c r="P19" i="15"/>
  <c r="E19" i="15"/>
  <c r="C18" i="15"/>
  <c r="X18" i="15"/>
  <c r="W22" i="15"/>
  <c r="L18" i="15"/>
  <c r="V18" i="15"/>
  <c r="B21" i="15"/>
  <c r="U22" i="15"/>
  <c r="AA21" i="15"/>
  <c r="P21" i="15"/>
  <c r="E21" i="15"/>
  <c r="K20" i="15"/>
  <c r="AB19" i="15"/>
  <c r="F19" i="15"/>
  <c r="B18" i="15"/>
  <c r="I18" i="15"/>
  <c r="S22" i="15"/>
  <c r="Y21" i="15"/>
  <c r="N21" i="15"/>
  <c r="C21" i="15"/>
  <c r="T20" i="15"/>
  <c r="I20" i="15"/>
  <c r="Z19" i="15"/>
  <c r="O19" i="15"/>
  <c r="D19" i="15"/>
  <c r="O18" i="15"/>
  <c r="M18" i="15"/>
  <c r="L22" i="15"/>
  <c r="W18" i="15"/>
  <c r="J22" i="15"/>
  <c r="V20" i="15"/>
  <c r="Q19" i="15"/>
  <c r="T18" i="15"/>
  <c r="AD22" i="15"/>
  <c r="H22" i="15"/>
  <c r="AD18" i="15"/>
  <c r="S18" i="15"/>
  <c r="AC22" i="15"/>
  <c r="R22" i="15"/>
  <c r="X21" i="15"/>
  <c r="AD20" i="15"/>
  <c r="S20" i="15"/>
  <c r="Y19" i="15"/>
  <c r="N19" i="15"/>
  <c r="AH16" i="11"/>
  <c r="AH17" i="11"/>
  <c r="AH15" i="11"/>
  <c r="I12" i="12"/>
  <c r="T12" i="12"/>
  <c r="AE12" i="12"/>
  <c r="E13" i="12"/>
  <c r="F13" i="12"/>
  <c r="H13" i="12"/>
  <c r="I13" i="12"/>
  <c r="J13" i="12"/>
  <c r="K13" i="12"/>
  <c r="L13" i="12"/>
  <c r="M13" i="12"/>
  <c r="N13" i="12"/>
  <c r="P13" i="12"/>
  <c r="Q13" i="12"/>
  <c r="S13" i="12"/>
  <c r="T13" i="12"/>
  <c r="U13" i="12"/>
  <c r="V13" i="12"/>
  <c r="W13" i="12"/>
  <c r="X13" i="12"/>
  <c r="Y13" i="12"/>
  <c r="AA13" i="12"/>
  <c r="AB13" i="12"/>
  <c r="AD13" i="12"/>
  <c r="AE13" i="12"/>
  <c r="D14" i="12"/>
  <c r="E14" i="12"/>
  <c r="F14" i="12"/>
  <c r="G14" i="12"/>
  <c r="H14" i="12"/>
  <c r="J14" i="12"/>
  <c r="K14" i="12"/>
  <c r="N14" i="12"/>
  <c r="O14" i="12"/>
  <c r="P14" i="12"/>
  <c r="Q14" i="12"/>
  <c r="R14" i="12"/>
  <c r="S14" i="12"/>
  <c r="U14" i="12"/>
  <c r="V14" i="12"/>
  <c r="Y14" i="12"/>
  <c r="Z14" i="12"/>
  <c r="AA14" i="12"/>
  <c r="AB14" i="12"/>
  <c r="AC14" i="12"/>
  <c r="AD14" i="12"/>
  <c r="D15" i="12"/>
  <c r="E15" i="12"/>
  <c r="I15" i="12"/>
  <c r="J15" i="12"/>
  <c r="K15" i="12"/>
  <c r="L15" i="12"/>
  <c r="M15" i="12"/>
  <c r="O15" i="12"/>
  <c r="P15" i="12"/>
  <c r="T15" i="12"/>
  <c r="U15" i="12"/>
  <c r="V15" i="12"/>
  <c r="W15" i="12"/>
  <c r="X15" i="12"/>
  <c r="Z15" i="12"/>
  <c r="AA15" i="12"/>
  <c r="AE15" i="12"/>
  <c r="D16" i="12"/>
  <c r="E16" i="12"/>
  <c r="F16" i="12"/>
  <c r="G16" i="12"/>
  <c r="J16" i="12"/>
  <c r="O16" i="12"/>
  <c r="P16" i="12"/>
  <c r="Q16" i="12"/>
  <c r="R16" i="12"/>
  <c r="U16" i="12"/>
  <c r="Z16" i="12"/>
  <c r="AA16" i="12"/>
  <c r="AB16" i="12"/>
  <c r="AC16" i="12"/>
  <c r="J17" i="12"/>
  <c r="K17" i="12"/>
  <c r="L17" i="12"/>
  <c r="U17" i="12"/>
  <c r="V17" i="12"/>
  <c r="W17" i="12"/>
  <c r="C17" i="12"/>
  <c r="C16" i="12"/>
  <c r="C15" i="12"/>
  <c r="C13" i="12"/>
  <c r="AG5" i="12"/>
  <c r="G13" i="12" s="1"/>
  <c r="AG6" i="12"/>
  <c r="L14" i="12" s="1"/>
  <c r="AG7" i="12"/>
  <c r="F15" i="12" s="1"/>
  <c r="AG8" i="12"/>
  <c r="K16" i="12" s="1"/>
  <c r="AG9" i="12"/>
  <c r="E17" i="12" s="1"/>
  <c r="AG4" i="12"/>
  <c r="M12" i="12" s="1"/>
  <c r="C12" i="12" l="1"/>
  <c r="Z17" i="12"/>
  <c r="W12" i="12"/>
  <c r="AC12" i="12"/>
  <c r="AE17" i="12"/>
  <c r="F12" i="12"/>
  <c r="O17" i="12"/>
  <c r="D17" i="12"/>
  <c r="L12" i="12"/>
  <c r="Y17" i="12"/>
  <c r="N17" i="12"/>
  <c r="AE16" i="12"/>
  <c r="T16" i="12"/>
  <c r="I16" i="12"/>
  <c r="V12" i="12"/>
  <c r="AD12" i="12"/>
  <c r="K12" i="12"/>
  <c r="C14" i="12"/>
  <c r="X17" i="12"/>
  <c r="M17" i="12"/>
  <c r="AD16" i="12"/>
  <c r="S16" i="12"/>
  <c r="H16" i="12"/>
  <c r="Y15" i="12"/>
  <c r="N15" i="12"/>
  <c r="AE14" i="12"/>
  <c r="T14" i="12"/>
  <c r="I14" i="12"/>
  <c r="Z13" i="12"/>
  <c r="O13" i="12"/>
  <c r="D13" i="12"/>
  <c r="U12" i="12"/>
  <c r="J12" i="12"/>
  <c r="S12" i="12"/>
  <c r="H12" i="12"/>
  <c r="G12" i="12"/>
  <c r="R12" i="12"/>
  <c r="I17" i="12"/>
  <c r="T17" i="12"/>
  <c r="AB12" i="12"/>
  <c r="E12" i="12"/>
  <c r="AB17" i="12"/>
  <c r="Q17" i="12"/>
  <c r="W16" i="12"/>
  <c r="L16" i="12"/>
  <c r="AC15" i="12"/>
  <c r="R15" i="12"/>
  <c r="G15" i="12"/>
  <c r="X14" i="12"/>
  <c r="M14" i="12"/>
  <c r="Y12" i="12"/>
  <c r="Q12" i="12"/>
  <c r="AD17" i="12"/>
  <c r="S17" i="12"/>
  <c r="H17" i="12"/>
  <c r="Y16" i="12"/>
  <c r="N16" i="12"/>
  <c r="AA12" i="12"/>
  <c r="P12" i="12"/>
  <c r="AC17" i="12"/>
  <c r="R17" i="12"/>
  <c r="G17" i="12"/>
  <c r="X16" i="12"/>
  <c r="M16" i="12"/>
  <c r="AD15" i="12"/>
  <c r="S15" i="12"/>
  <c r="H15" i="12"/>
  <c r="Z12" i="12"/>
  <c r="O12" i="12"/>
  <c r="D12" i="12"/>
  <c r="F17" i="12"/>
  <c r="N12" i="12"/>
  <c r="AA17" i="12"/>
  <c r="P17" i="12"/>
  <c r="V16" i="12"/>
  <c r="AB15" i="12"/>
  <c r="Q15" i="12"/>
  <c r="W14" i="12"/>
  <c r="AC13" i="12"/>
  <c r="R13" i="12"/>
  <c r="X12" i="12"/>
</calcChain>
</file>

<file path=xl/sharedStrings.xml><?xml version="1.0" encoding="utf-8"?>
<sst xmlns="http://schemas.openxmlformats.org/spreadsheetml/2006/main" count="207" uniqueCount="76">
  <si>
    <t>DT</t>
  </si>
  <si>
    <t>C</t>
  </si>
  <si>
    <t>C zeta</t>
  </si>
  <si>
    <t>C eta</t>
  </si>
  <si>
    <t>D eta</t>
  </si>
  <si>
    <t>D_num</t>
  </si>
  <si>
    <t>eta_C</t>
  </si>
  <si>
    <t>Δ</t>
  </si>
  <si>
    <t>ϵ</t>
  </si>
  <si>
    <t>D num</t>
  </si>
  <si>
    <t>dt=0.1</t>
  </si>
  <si>
    <t>etas_C</t>
  </si>
  <si>
    <t>dt=0.2</t>
  </si>
  <si>
    <t>dt=0.3</t>
  </si>
  <si>
    <t>D</t>
  </si>
  <si>
    <t>D eta_C</t>
  </si>
  <si>
    <t>Nx scaled</t>
  </si>
  <si>
    <t>Scaled by Nx:</t>
  </si>
  <si>
    <t>dt = 0.1</t>
  </si>
  <si>
    <t>N*eps</t>
  </si>
  <si>
    <t>dt = 0.2</t>
  </si>
  <si>
    <t>dt=0.25</t>
  </si>
  <si>
    <t>dt=0.35</t>
  </si>
  <si>
    <t>eps</t>
  </si>
  <si>
    <t>best etaC</t>
  </si>
  <si>
    <t>dt = 0.15</t>
  </si>
  <si>
    <t>Δt = 0.1</t>
  </si>
  <si>
    <t>Δt = 0.15</t>
  </si>
  <si>
    <t>Δt = 0.2</t>
  </si>
  <si>
    <t>Δt = 0.25</t>
  </si>
  <si>
    <t>Δt = 0.3</t>
  </si>
  <si>
    <t>Δt = 0.35</t>
  </si>
  <si>
    <t>Δt=0.1</t>
  </si>
  <si>
    <t>Δt=0.15</t>
  </si>
  <si>
    <t>Δt=0.2</t>
  </si>
  <si>
    <t>Δt=0.25</t>
  </si>
  <si>
    <t>Δt=0.3</t>
  </si>
  <si>
    <t>Δt=0.35</t>
  </si>
  <si>
    <t>Min window</t>
  </si>
  <si>
    <t>Normalised:</t>
  </si>
  <si>
    <t>no</t>
  </si>
  <si>
    <t>MINS</t>
  </si>
  <si>
    <t>% diffs</t>
  </si>
  <si>
    <t>MIN:</t>
  </si>
  <si>
    <t>% diff</t>
  </si>
  <si>
    <t>(C-D)/D</t>
  </si>
  <si>
    <t>(C-D)/C</t>
  </si>
  <si>
    <t>try larrger</t>
  </si>
  <si>
    <t>(C-D)/C improvement</t>
  </si>
  <si>
    <t>N</t>
  </si>
  <si>
    <t> 0.008</t>
  </si>
  <si>
    <t>Increased amplitude:</t>
  </si>
  <si>
    <t>Avg</t>
  </si>
  <si>
    <t>TT=20:</t>
  </si>
  <si>
    <t>TT=50:</t>
  </si>
  <si>
    <t>Reaally long, TT=100</t>
  </si>
  <si>
    <t xml:space="preserve">Avg. </t>
  </si>
  <si>
    <t>try with C best from shorter run.</t>
  </si>
  <si>
    <t>0.05931775 </t>
  </si>
  <si>
    <t>TT=10</t>
  </si>
  <si>
    <t>styandard phase ave</t>
  </si>
  <si>
    <t>mean corrected</t>
  </si>
  <si>
    <t>zetas</t>
  </si>
  <si>
    <t>TT=50</t>
  </si>
  <si>
    <t>redo the 1.45 cases</t>
  </si>
  <si>
    <t>redo</t>
  </si>
  <si>
    <t>check</t>
  </si>
  <si>
    <t>probably larger …</t>
  </si>
  <si>
    <t>hmm</t>
  </si>
  <si>
    <t>hmm.</t>
  </si>
  <si>
    <t>oh…</t>
  </si>
  <si>
    <t>ned to redo</t>
  </si>
  <si>
    <t>Sum of L2 error:</t>
  </si>
  <si>
    <t>Error diff</t>
  </si>
  <si>
    <t>unaved modvar</t>
  </si>
  <si>
    <t> 0.27187959349578417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</si>
</sst>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Menlo"/>
      <family val="2"/>
    </font>
    <font>
      <sz val="11"/>
      <color rgb="FF000000"/>
      <name val="Calibri"/>
      <family val="2"/>
      <scheme val="minor"/>
    </font>
    <font>
      <sz val="12"/>
      <color rgb="FFB5CEA8"/>
      <name val="Menlo"/>
      <family val="2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'eps0.5'!$C$3:$C$8</c:f>
              <c:numCache>
                <c:formatCode>General</c:formatCode>
                <c:ptCount val="6"/>
                <c:pt idx="0">
                  <c:v>7.67953612215111E-4</c:v>
                </c:pt>
                <c:pt idx="1">
                  <c:v>5.1544958358032897E-3</c:v>
                </c:pt>
                <c:pt idx="2">
                  <c:v>1.6130025567042499E-2</c:v>
                </c:pt>
                <c:pt idx="3">
                  <c:v>2.6020930734625601E-2</c:v>
                </c:pt>
                <c:pt idx="4">
                  <c:v>3.1826043972851797E-2</c:v>
                </c:pt>
                <c:pt idx="5">
                  <c:v>4.6038051102883303E-2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9-2C47-A8F9-2265BD87EAF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'eps0.5'!$F$3:$F$8</c:f>
              <c:numCache>
                <c:formatCode>General</c:formatCode>
                <c:ptCount val="6"/>
                <c:pt idx="0">
                  <c:v>6.2030931576822499E-3</c:v>
                </c:pt>
                <c:pt idx="1">
                  <c:v>8.09051544619541E-3</c:v>
                </c:pt>
                <c:pt idx="2">
                  <c:v>1.6327842974547001E-2</c:v>
                </c:pt>
                <c:pt idx="3">
                  <c:v>2.5524479184506E-2</c:v>
                </c:pt>
                <c:pt idx="4">
                  <c:v>2.8925111448591199E-2</c:v>
                </c:pt>
                <c:pt idx="5">
                  <c:v>4.0894120582732799E-2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89-2C47-A8F9-2265BD87E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8543023"/>
        <c:axId val="1038502351"/>
      </c:lineChart>
      <c:catAx>
        <c:axId val="103854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502351"/>
        <c:crosses val="autoZero"/>
        <c:auto val="1"/>
        <c:lblAlgn val="ctr"/>
        <c:lblOffset val="100"/>
        <c:noMultiLvlLbl val="0"/>
      </c:catAx>
      <c:valAx>
        <c:axId val="103850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54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TT=10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19123421160295E-2"/>
          <c:y val="0.11110727959146882"/>
          <c:w val="0.93858699978340998"/>
          <c:h val="0.76953882229077253"/>
        </c:manualLayout>
      </c:layout>
      <c:scatterChart>
        <c:scatterStyle val="lineMarker"/>
        <c:varyColors val="0"/>
        <c:ser>
          <c:idx val="1"/>
          <c:order val="0"/>
          <c:tx>
            <c:v>Standard phase-averaging</c:v>
          </c:tx>
          <c:spPr>
            <a:ln w="2540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square"/>
            <c:size val="10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'eps0.1'!$A$4:$A$9</c:f>
              <c:numCache>
                <c:formatCode>General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</c:numCache>
            </c:numRef>
          </c:xVal>
          <c:yVal>
            <c:numRef>
              <c:f>'eps0.1'!$C$4:$C$9</c:f>
              <c:numCache>
                <c:formatCode>General</c:formatCode>
                <c:ptCount val="6"/>
                <c:pt idx="0">
                  <c:v>1.47752392055798E-2</c:v>
                </c:pt>
                <c:pt idx="1">
                  <c:v>2.8725903736543299E-2</c:v>
                </c:pt>
                <c:pt idx="2">
                  <c:v>5.3827322697220098E-2</c:v>
                </c:pt>
                <c:pt idx="3">
                  <c:v>6.2178052065774397E-2</c:v>
                </c:pt>
                <c:pt idx="4">
                  <c:v>8.7322762011909305E-2</c:v>
                </c:pt>
                <c:pt idx="5">
                  <c:v>8.3196265144812806E-2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19-E449-AD89-F94F9CB7D0CB}"/>
            </c:ext>
          </c:extLst>
        </c:ser>
        <c:ser>
          <c:idx val="2"/>
          <c:order val="1"/>
          <c:tx>
            <c:v>Mean corrected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'eps0.1'!$A$4:$A$9</c:f>
              <c:numCache>
                <c:formatCode>General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</c:numCache>
            </c:numRef>
          </c:xVal>
          <c:yVal>
            <c:numRef>
              <c:f>'eps0.1'!$G$4:$G$9</c:f>
              <c:numCache>
                <c:formatCode>General</c:formatCode>
                <c:ptCount val="6"/>
                <c:pt idx="0">
                  <c:v>1.37058353701055E-2</c:v>
                </c:pt>
                <c:pt idx="1">
                  <c:v>2.2867737119621E-2</c:v>
                </c:pt>
                <c:pt idx="2">
                  <c:v>4.6030304912093603E-2</c:v>
                </c:pt>
                <c:pt idx="3">
                  <c:v>5.54139836112938E-2</c:v>
                </c:pt>
                <c:pt idx="4">
                  <c:v>7.2388052431793096E-2</c:v>
                </c:pt>
                <c:pt idx="5">
                  <c:v>7.6446544745560799E-2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19-E449-AD89-F94F9CB7D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218767"/>
        <c:axId val="896220479"/>
      </c:scatterChart>
      <c:valAx>
        <c:axId val="896218767"/>
        <c:scaling>
          <c:orientation val="minMax"/>
          <c:max val="0.35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20479"/>
        <c:crosses val="autoZero"/>
        <c:crossBetween val="midCat"/>
      </c:valAx>
      <c:valAx>
        <c:axId val="89622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18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TT=50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19123421160295E-2"/>
          <c:y val="0.11110727959146882"/>
          <c:w val="0.93858699978340998"/>
          <c:h val="0.76953882229077253"/>
        </c:manualLayout>
      </c:layout>
      <c:scatterChart>
        <c:scatterStyle val="lineMarker"/>
        <c:varyColors val="0"/>
        <c:ser>
          <c:idx val="1"/>
          <c:order val="0"/>
          <c:tx>
            <c:v>Standard phase-averaging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'eps0.1'!$A$33:$A$38</c:f>
              <c:numCache>
                <c:formatCode>General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</c:numCache>
            </c:numRef>
          </c:xVal>
          <c:yVal>
            <c:numRef>
              <c:f>'eps0.1'!$C$33:$C$38</c:f>
              <c:numCache>
                <c:formatCode>General</c:formatCode>
                <c:ptCount val="6"/>
                <c:pt idx="0">
                  <c:v>2.7273964020530599E-2</c:v>
                </c:pt>
                <c:pt idx="1">
                  <c:v>6.8702597780333802E-2</c:v>
                </c:pt>
                <c:pt idx="2">
                  <c:v>0.12356132040982699</c:v>
                </c:pt>
                <c:pt idx="3">
                  <c:v>0.13322180982161899</c:v>
                </c:pt>
                <c:pt idx="4">
                  <c:v>0.13521089569549599</c:v>
                </c:pt>
                <c:pt idx="5">
                  <c:v>0.12624496805994401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7-1242-8754-EFD527F97F90}"/>
            </c:ext>
          </c:extLst>
        </c:ser>
        <c:ser>
          <c:idx val="2"/>
          <c:order val="1"/>
          <c:tx>
            <c:v>Mean corrected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'eps0.1'!$A$33:$A$38</c:f>
              <c:numCache>
                <c:formatCode>General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</c:numCache>
            </c:numRef>
          </c:xVal>
          <c:yVal>
            <c:numRef>
              <c:f>'eps0.1'!$G$33:$G$38</c:f>
              <c:numCache>
                <c:formatCode>General</c:formatCode>
                <c:ptCount val="6"/>
                <c:pt idx="0">
                  <c:v>1.9969263392339599E-2</c:v>
                </c:pt>
                <c:pt idx="1">
                  <c:v>4.2570745439205998E-2</c:v>
                </c:pt>
                <c:pt idx="2">
                  <c:v>9.1355830559159801E-2</c:v>
                </c:pt>
                <c:pt idx="3">
                  <c:v>0.104196752872392</c:v>
                </c:pt>
                <c:pt idx="4">
                  <c:v>0.107854243364796</c:v>
                </c:pt>
                <c:pt idx="5">
                  <c:v>9.5607013421205506E-2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D7-1242-8754-EFD527F97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218767"/>
        <c:axId val="896220479"/>
      </c:scatterChart>
      <c:valAx>
        <c:axId val="896218767"/>
        <c:scaling>
          <c:orientation val="minMax"/>
          <c:max val="0.35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20479"/>
        <c:crosses val="autoZero"/>
        <c:crossBetween val="midCat"/>
      </c:valAx>
      <c:valAx>
        <c:axId val="89622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18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Gaussian RSWEs, </a:t>
            </a:r>
            <a:r>
              <a:rPr lang="el-GR"/>
              <a:t>η</a:t>
            </a:r>
            <a:r>
              <a:rPr lang="en-GB"/>
              <a:t>_C Peddle Plot, </a:t>
            </a:r>
            <a:r>
              <a:rPr lang="el-GR"/>
              <a:t>ϵ</a:t>
            </a:r>
            <a:r>
              <a:rPr lang="en-GB"/>
              <a:t>=0.1  </a:t>
            </a:r>
          </a:p>
        </c:rich>
      </c:tx>
      <c:layout>
        <c:manualLayout>
          <c:xMode val="edge"/>
          <c:yMode val="edge"/>
          <c:x val="0.1826734470691163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Δt = 0.1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'eps0.1_peddle'!$C$13:$AE$13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</c:numCache>
            </c:numRef>
          </c:xVal>
          <c:yVal>
            <c:numRef>
              <c:f>'eps0.1_peddle'!$C$15:$AE$15</c:f>
              <c:numCache>
                <c:formatCode>General</c:formatCode>
                <c:ptCount val="29"/>
                <c:pt idx="0">
                  <c:v>0.51333786000000003</c:v>
                </c:pt>
                <c:pt idx="1">
                  <c:v>0.42543343</c:v>
                </c:pt>
                <c:pt idx="2" formatCode="0.00E+00">
                  <c:v>0.33461592000000001</c:v>
                </c:pt>
                <c:pt idx="3">
                  <c:v>0.25144856999999998</c:v>
                </c:pt>
                <c:pt idx="4">
                  <c:v>0.17444696000000001</c:v>
                </c:pt>
                <c:pt idx="5">
                  <c:v>0.10827784</c:v>
                </c:pt>
                <c:pt idx="6">
                  <c:v>6.1517090000000003E-2</c:v>
                </c:pt>
                <c:pt idx="7">
                  <c:v>3.8221119999999997E-2</c:v>
                </c:pt>
                <c:pt idx="8">
                  <c:v>2.698447E-2</c:v>
                </c:pt>
                <c:pt idx="9">
                  <c:v>2.6181900000000001E-2</c:v>
                </c:pt>
                <c:pt idx="10">
                  <c:v>2.2492669999999999E-2</c:v>
                </c:pt>
                <c:pt idx="11">
                  <c:v>1.6654510000000001E-2</c:v>
                </c:pt>
                <c:pt idx="12">
                  <c:v>1.3788949999999999E-2</c:v>
                </c:pt>
                <c:pt idx="13">
                  <c:v>1.370584E-2</c:v>
                </c:pt>
                <c:pt idx="14">
                  <c:v>1.414546E-2</c:v>
                </c:pt>
                <c:pt idx="15">
                  <c:v>1.470137E-2</c:v>
                </c:pt>
                <c:pt idx="16">
                  <c:v>1.563378E-2</c:v>
                </c:pt>
                <c:pt idx="17">
                  <c:v>1.7115789999999999E-2</c:v>
                </c:pt>
                <c:pt idx="18">
                  <c:v>1.8072479999999998E-2</c:v>
                </c:pt>
                <c:pt idx="19">
                  <c:v>1.753004E-2</c:v>
                </c:pt>
                <c:pt idx="20">
                  <c:v>1.580436E-2</c:v>
                </c:pt>
                <c:pt idx="21">
                  <c:v>1.450362E-2</c:v>
                </c:pt>
                <c:pt idx="22">
                  <c:v>1.4611229999999999E-2</c:v>
                </c:pt>
                <c:pt idx="23">
                  <c:v>1.51878E-2</c:v>
                </c:pt>
                <c:pt idx="24">
                  <c:v>1.5422989999999999E-2</c:v>
                </c:pt>
                <c:pt idx="25">
                  <c:v>1.513685E-2</c:v>
                </c:pt>
                <c:pt idx="26">
                  <c:v>1.461316E-2</c:v>
                </c:pt>
                <c:pt idx="27">
                  <c:v>1.431925E-2</c:v>
                </c:pt>
                <c:pt idx="28">
                  <c:v>1.447121E-2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F3-4D77-9FE1-2575F5A7FABF}"/>
            </c:ext>
          </c:extLst>
        </c:ser>
        <c:ser>
          <c:idx val="1"/>
          <c:order val="1"/>
          <c:tx>
            <c:v>Δt = 0.2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'eps0.1_peddle'!$C$13:$AE$13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</c:numCache>
            </c:numRef>
          </c:xVal>
          <c:yVal>
            <c:numRef>
              <c:f>'eps0.1_peddle'!$C$16:$AE$16</c:f>
              <c:numCache>
                <c:formatCode>General</c:formatCode>
                <c:ptCount val="29"/>
                <c:pt idx="0">
                  <c:v>0.38942157999999999</c:v>
                </c:pt>
                <c:pt idx="1">
                  <c:v>0.33020612999999999</c:v>
                </c:pt>
                <c:pt idx="2">
                  <c:v>0.26016665</c:v>
                </c:pt>
                <c:pt idx="3">
                  <c:v>0.19152150000000001</c:v>
                </c:pt>
                <c:pt idx="4">
                  <c:v>0.13064661</c:v>
                </c:pt>
                <c:pt idx="5">
                  <c:v>8.3610690000000001E-2</c:v>
                </c:pt>
                <c:pt idx="6">
                  <c:v>0</c:v>
                </c:pt>
                <c:pt idx="7">
                  <c:v>5.5003240000000002E-2</c:v>
                </c:pt>
                <c:pt idx="8">
                  <c:v>5.5957420000000001E-2</c:v>
                </c:pt>
                <c:pt idx="9">
                  <c:v>5.6383000000000003E-2</c:v>
                </c:pt>
                <c:pt idx="10">
                  <c:v>5.3796860000000002E-2</c:v>
                </c:pt>
                <c:pt idx="11">
                  <c:v>5.0136399999999998E-2</c:v>
                </c:pt>
                <c:pt idx="12">
                  <c:v>4.7386980000000002E-2</c:v>
                </c:pt>
                <c:pt idx="13">
                  <c:v>4.6033490000000003E-2</c:v>
                </c:pt>
                <c:pt idx="14">
                  <c:v>4.6045009999999997E-2</c:v>
                </c:pt>
                <c:pt idx="15">
                  <c:v>4.7073490000000003E-2</c:v>
                </c:pt>
                <c:pt idx="16">
                  <c:v>4.855723E-2</c:v>
                </c:pt>
                <c:pt idx="17">
                  <c:v>4.9911959999999998E-2</c:v>
                </c:pt>
                <c:pt idx="18">
                  <c:v>5.0579239999999998E-2</c:v>
                </c:pt>
                <c:pt idx="19">
                  <c:v>5.034077E-2</c:v>
                </c:pt>
                <c:pt idx="20">
                  <c:v>4.9421119999999999E-2</c:v>
                </c:pt>
                <c:pt idx="21">
                  <c:v>4.8292660000000001E-2</c:v>
                </c:pt>
                <c:pt idx="22">
                  <c:v>4.736812E-2</c:v>
                </c:pt>
                <c:pt idx="23">
                  <c:v>4.6750949999999999E-2</c:v>
                </c:pt>
                <c:pt idx="24">
                  <c:v>4.6492409999999998E-2</c:v>
                </c:pt>
                <c:pt idx="25">
                  <c:v>4.6586580000000002E-2</c:v>
                </c:pt>
                <c:pt idx="26">
                  <c:v>4.6946130000000003E-2</c:v>
                </c:pt>
                <c:pt idx="27">
                  <c:v>4.7455329999999997E-2</c:v>
                </c:pt>
                <c:pt idx="28">
                  <c:v>4.7965290000000001E-2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F3-4D77-9FE1-2575F5A7FABF}"/>
            </c:ext>
          </c:extLst>
        </c:ser>
        <c:ser>
          <c:idx val="2"/>
          <c:order val="2"/>
          <c:tx>
            <c:v>Δt = 0.3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'eps0.1_peddle'!$C$13:$AE$13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</c:numCache>
            </c:numRef>
          </c:xVal>
          <c:yVal>
            <c:numRef>
              <c:f>'eps0.1_peddle'!$C$17:$AE$17</c:f>
              <c:numCache>
                <c:formatCode>General</c:formatCode>
                <c:ptCount val="29"/>
                <c:pt idx="0">
                  <c:v>0.23721461999999999</c:v>
                </c:pt>
                <c:pt idx="1">
                  <c:v>0.20522842999999999</c:v>
                </c:pt>
                <c:pt idx="2">
                  <c:v>0.16612252</c:v>
                </c:pt>
                <c:pt idx="3">
                  <c:v>0.12900111</c:v>
                </c:pt>
                <c:pt idx="4">
                  <c:v>9.906479E-2</c:v>
                </c:pt>
                <c:pt idx="5">
                  <c:v>8.0117389999999997E-2</c:v>
                </c:pt>
                <c:pt idx="6">
                  <c:v>7.2992169999999995E-2</c:v>
                </c:pt>
                <c:pt idx="7">
                  <c:v>7.3383240000000002E-2</c:v>
                </c:pt>
                <c:pt idx="8">
                  <c:v>7.5540510000000005E-2</c:v>
                </c:pt>
                <c:pt idx="9">
                  <c:v>7.627188E-2</c:v>
                </c:pt>
                <c:pt idx="10">
                  <c:v>7.5460550000000001E-2</c:v>
                </c:pt>
                <c:pt idx="11">
                  <c:v>7.4193690000000007E-2</c:v>
                </c:pt>
                <c:pt idx="12">
                  <c:v>7.318289E-2</c:v>
                </c:pt>
                <c:pt idx="13">
                  <c:v>7.2642960000000006E-2</c:v>
                </c:pt>
                <c:pt idx="14">
                  <c:v>7.2593270000000001E-2</c:v>
                </c:pt>
                <c:pt idx="15">
                  <c:v>7.2960479999999994E-2</c:v>
                </c:pt>
                <c:pt idx="16">
                  <c:v>7.3551740000000004E-2</c:v>
                </c:pt>
                <c:pt idx="17">
                  <c:v>7.4093350000000002E-2</c:v>
                </c:pt>
                <c:pt idx="18">
                  <c:v>7.4339760000000005E-2</c:v>
                </c:pt>
                <c:pt idx="19">
                  <c:v>7.4227570000000007E-2</c:v>
                </c:pt>
                <c:pt idx="20">
                  <c:v>7.3829859999999997E-2</c:v>
                </c:pt>
                <c:pt idx="21">
                  <c:v>7.3303850000000004E-2</c:v>
                </c:pt>
                <c:pt idx="22">
                  <c:v>7.2826829999999995E-2</c:v>
                </c:pt>
                <c:pt idx="23">
                  <c:v>7.2506899999999999E-2</c:v>
                </c:pt>
                <c:pt idx="24">
                  <c:v>7.2387720000000003E-2</c:v>
                </c:pt>
                <c:pt idx="25">
                  <c:v>7.2455450000000005E-2</c:v>
                </c:pt>
                <c:pt idx="26">
                  <c:v>7.2659710000000002E-2</c:v>
                </c:pt>
                <c:pt idx="27">
                  <c:v>7.2924669999999997E-2</c:v>
                </c:pt>
                <c:pt idx="28">
                  <c:v>7.3171929999999996E-2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F3-4D77-9FE1-2575F5A7F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399192"/>
        <c:axId val="456400832"/>
      </c:scatterChart>
      <c:valAx>
        <c:axId val="456399192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𝜂_C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00832"/>
        <c:crossesAt val="1.0000000000000002E-2"/>
        <c:crossBetween val="midCat"/>
      </c:valAx>
      <c:valAx>
        <c:axId val="4564008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Solution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99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Mean</a:t>
            </a:r>
            <a:r>
              <a:rPr lang="en-GB" baseline="0"/>
              <a:t> correction errors over </a:t>
            </a:r>
            <a:r>
              <a:rPr lang="el-GR"/>
              <a:t>η</a:t>
            </a:r>
            <a:r>
              <a:rPr lang="en-GB"/>
              <a:t>_C, RSWEs, </a:t>
            </a:r>
            <a:r>
              <a:rPr lang="el-GR"/>
              <a:t>ϵ</a:t>
            </a:r>
            <a:r>
              <a:rPr lang="en-GB"/>
              <a:t>=0.1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Δt = 0.1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'eps0.1_peddle'!$C$13:$AE$13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</c:numCache>
            </c:numRef>
          </c:xVal>
          <c:yVal>
            <c:numRef>
              <c:f>'eps0.1_peddle'!$C$15:$AE$15</c:f>
              <c:numCache>
                <c:formatCode>General</c:formatCode>
                <c:ptCount val="29"/>
                <c:pt idx="0">
                  <c:v>0.51333786000000003</c:v>
                </c:pt>
                <c:pt idx="1">
                  <c:v>0.42543343</c:v>
                </c:pt>
                <c:pt idx="2" formatCode="0.00E+00">
                  <c:v>0.33461592000000001</c:v>
                </c:pt>
                <c:pt idx="3">
                  <c:v>0.25144856999999998</c:v>
                </c:pt>
                <c:pt idx="4">
                  <c:v>0.17444696000000001</c:v>
                </c:pt>
                <c:pt idx="5">
                  <c:v>0.10827784</c:v>
                </c:pt>
                <c:pt idx="6">
                  <c:v>6.1517090000000003E-2</c:v>
                </c:pt>
                <c:pt idx="7">
                  <c:v>3.8221119999999997E-2</c:v>
                </c:pt>
                <c:pt idx="8">
                  <c:v>2.698447E-2</c:v>
                </c:pt>
                <c:pt idx="9">
                  <c:v>2.6181900000000001E-2</c:v>
                </c:pt>
                <c:pt idx="10">
                  <c:v>2.2492669999999999E-2</c:v>
                </c:pt>
                <c:pt idx="11">
                  <c:v>1.6654510000000001E-2</c:v>
                </c:pt>
                <c:pt idx="12">
                  <c:v>1.3788949999999999E-2</c:v>
                </c:pt>
                <c:pt idx="13">
                  <c:v>1.370584E-2</c:v>
                </c:pt>
                <c:pt idx="14">
                  <c:v>1.414546E-2</c:v>
                </c:pt>
                <c:pt idx="15">
                  <c:v>1.470137E-2</c:v>
                </c:pt>
                <c:pt idx="16">
                  <c:v>1.563378E-2</c:v>
                </c:pt>
                <c:pt idx="17">
                  <c:v>1.7115789999999999E-2</c:v>
                </c:pt>
                <c:pt idx="18">
                  <c:v>1.8072479999999998E-2</c:v>
                </c:pt>
                <c:pt idx="19">
                  <c:v>1.753004E-2</c:v>
                </c:pt>
                <c:pt idx="20">
                  <c:v>1.580436E-2</c:v>
                </c:pt>
                <c:pt idx="21">
                  <c:v>1.450362E-2</c:v>
                </c:pt>
                <c:pt idx="22">
                  <c:v>1.4611229999999999E-2</c:v>
                </c:pt>
                <c:pt idx="23">
                  <c:v>1.51878E-2</c:v>
                </c:pt>
                <c:pt idx="24">
                  <c:v>1.5422989999999999E-2</c:v>
                </c:pt>
                <c:pt idx="25">
                  <c:v>1.513685E-2</c:v>
                </c:pt>
                <c:pt idx="26">
                  <c:v>1.461316E-2</c:v>
                </c:pt>
                <c:pt idx="27">
                  <c:v>1.431925E-2</c:v>
                </c:pt>
                <c:pt idx="28">
                  <c:v>1.447121E-2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AE-43CB-96F3-AEB30B2C1E5A}"/>
            </c:ext>
          </c:extLst>
        </c:ser>
        <c:ser>
          <c:idx val="1"/>
          <c:order val="1"/>
          <c:tx>
            <c:v>Δt = 0.2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'eps0.1_peddle'!$C$13:$AE$13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</c:numCache>
            </c:numRef>
          </c:xVal>
          <c:yVal>
            <c:numRef>
              <c:f>'eps0.1_peddle'!$C$16:$AE$16</c:f>
              <c:numCache>
                <c:formatCode>General</c:formatCode>
                <c:ptCount val="29"/>
                <c:pt idx="0">
                  <c:v>0.38942157999999999</c:v>
                </c:pt>
                <c:pt idx="1">
                  <c:v>0.33020612999999999</c:v>
                </c:pt>
                <c:pt idx="2">
                  <c:v>0.26016665</c:v>
                </c:pt>
                <c:pt idx="3">
                  <c:v>0.19152150000000001</c:v>
                </c:pt>
                <c:pt idx="4">
                  <c:v>0.13064661</c:v>
                </c:pt>
                <c:pt idx="5">
                  <c:v>8.3610690000000001E-2</c:v>
                </c:pt>
                <c:pt idx="6">
                  <c:v>0</c:v>
                </c:pt>
                <c:pt idx="7">
                  <c:v>5.5003240000000002E-2</c:v>
                </c:pt>
                <c:pt idx="8">
                  <c:v>5.5957420000000001E-2</c:v>
                </c:pt>
                <c:pt idx="9">
                  <c:v>5.6383000000000003E-2</c:v>
                </c:pt>
                <c:pt idx="10">
                  <c:v>5.3796860000000002E-2</c:v>
                </c:pt>
                <c:pt idx="11">
                  <c:v>5.0136399999999998E-2</c:v>
                </c:pt>
                <c:pt idx="12">
                  <c:v>4.7386980000000002E-2</c:v>
                </c:pt>
                <c:pt idx="13">
                  <c:v>4.6033490000000003E-2</c:v>
                </c:pt>
                <c:pt idx="14">
                  <c:v>4.6045009999999997E-2</c:v>
                </c:pt>
                <c:pt idx="15">
                  <c:v>4.7073490000000003E-2</c:v>
                </c:pt>
                <c:pt idx="16">
                  <c:v>4.855723E-2</c:v>
                </c:pt>
                <c:pt idx="17">
                  <c:v>4.9911959999999998E-2</c:v>
                </c:pt>
                <c:pt idx="18">
                  <c:v>5.0579239999999998E-2</c:v>
                </c:pt>
                <c:pt idx="19">
                  <c:v>5.034077E-2</c:v>
                </c:pt>
                <c:pt idx="20">
                  <c:v>4.9421119999999999E-2</c:v>
                </c:pt>
                <c:pt idx="21">
                  <c:v>4.8292660000000001E-2</c:v>
                </c:pt>
                <c:pt idx="22">
                  <c:v>4.736812E-2</c:v>
                </c:pt>
                <c:pt idx="23">
                  <c:v>4.6750949999999999E-2</c:v>
                </c:pt>
                <c:pt idx="24">
                  <c:v>4.6492409999999998E-2</c:v>
                </c:pt>
                <c:pt idx="25">
                  <c:v>4.6586580000000002E-2</c:v>
                </c:pt>
                <c:pt idx="26">
                  <c:v>4.6946130000000003E-2</c:v>
                </c:pt>
                <c:pt idx="27">
                  <c:v>4.7455329999999997E-2</c:v>
                </c:pt>
                <c:pt idx="28">
                  <c:v>4.7965290000000001E-2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AE-43CB-96F3-AEB30B2C1E5A}"/>
            </c:ext>
          </c:extLst>
        </c:ser>
        <c:ser>
          <c:idx val="2"/>
          <c:order val="2"/>
          <c:tx>
            <c:v>Δt = 0.3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'eps0.1_peddle'!$C$13:$AE$13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</c:numCache>
            </c:numRef>
          </c:xVal>
          <c:yVal>
            <c:numRef>
              <c:f>'eps0.1_peddle'!$C$17:$AE$17</c:f>
              <c:numCache>
                <c:formatCode>General</c:formatCode>
                <c:ptCount val="29"/>
                <c:pt idx="0">
                  <c:v>0.23721461999999999</c:v>
                </c:pt>
                <c:pt idx="1">
                  <c:v>0.20522842999999999</c:v>
                </c:pt>
                <c:pt idx="2">
                  <c:v>0.16612252</c:v>
                </c:pt>
                <c:pt idx="3">
                  <c:v>0.12900111</c:v>
                </c:pt>
                <c:pt idx="4">
                  <c:v>9.906479E-2</c:v>
                </c:pt>
                <c:pt idx="5">
                  <c:v>8.0117389999999997E-2</c:v>
                </c:pt>
                <c:pt idx="6">
                  <c:v>7.2992169999999995E-2</c:v>
                </c:pt>
                <c:pt idx="7">
                  <c:v>7.3383240000000002E-2</c:v>
                </c:pt>
                <c:pt idx="8">
                  <c:v>7.5540510000000005E-2</c:v>
                </c:pt>
                <c:pt idx="9">
                  <c:v>7.627188E-2</c:v>
                </c:pt>
                <c:pt idx="10">
                  <c:v>7.5460550000000001E-2</c:v>
                </c:pt>
                <c:pt idx="11">
                  <c:v>7.4193690000000007E-2</c:v>
                </c:pt>
                <c:pt idx="12">
                  <c:v>7.318289E-2</c:v>
                </c:pt>
                <c:pt idx="13">
                  <c:v>7.2642960000000006E-2</c:v>
                </c:pt>
                <c:pt idx="14">
                  <c:v>7.2593270000000001E-2</c:v>
                </c:pt>
                <c:pt idx="15">
                  <c:v>7.2960479999999994E-2</c:v>
                </c:pt>
                <c:pt idx="16">
                  <c:v>7.3551740000000004E-2</c:v>
                </c:pt>
                <c:pt idx="17">
                  <c:v>7.4093350000000002E-2</c:v>
                </c:pt>
                <c:pt idx="18">
                  <c:v>7.4339760000000005E-2</c:v>
                </c:pt>
                <c:pt idx="19">
                  <c:v>7.4227570000000007E-2</c:v>
                </c:pt>
                <c:pt idx="20">
                  <c:v>7.3829859999999997E-2</c:v>
                </c:pt>
                <c:pt idx="21">
                  <c:v>7.3303850000000004E-2</c:v>
                </c:pt>
                <c:pt idx="22">
                  <c:v>7.2826829999999995E-2</c:v>
                </c:pt>
                <c:pt idx="23">
                  <c:v>7.2506899999999999E-2</c:v>
                </c:pt>
                <c:pt idx="24">
                  <c:v>7.2387720000000003E-2</c:v>
                </c:pt>
                <c:pt idx="25">
                  <c:v>7.2455450000000005E-2</c:v>
                </c:pt>
                <c:pt idx="26">
                  <c:v>7.2659710000000002E-2</c:v>
                </c:pt>
                <c:pt idx="27">
                  <c:v>7.2924669999999997E-2</c:v>
                </c:pt>
                <c:pt idx="28">
                  <c:v>7.3171929999999996E-2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AE-43CB-96F3-AEB30B2C1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399192"/>
        <c:axId val="456400832"/>
      </c:scatterChart>
      <c:valAx>
        <c:axId val="456399192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none" strike="noStrike" baseline="0">
                    <a:effectLst/>
                  </a:rPr>
                  <a:t>𝜂_C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00832"/>
        <c:crossesAt val="1.0000000000000002E-2"/>
        <c:crossBetween val="midCat"/>
      </c:valAx>
      <c:valAx>
        <c:axId val="4564008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Solution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99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Mean</a:t>
            </a:r>
            <a:r>
              <a:rPr lang="en-GB" baseline="0"/>
              <a:t> correction errors over </a:t>
            </a:r>
            <a:r>
              <a:rPr lang="el-GR"/>
              <a:t>η</a:t>
            </a:r>
            <a:r>
              <a:rPr lang="en-GB"/>
              <a:t>_C, RSWEs, </a:t>
            </a:r>
            <a:r>
              <a:rPr lang="el-GR"/>
              <a:t>ϵ</a:t>
            </a:r>
            <a:r>
              <a:rPr lang="en-GB"/>
              <a:t>=0.1  </a:t>
            </a:r>
          </a:p>
        </c:rich>
      </c:tx>
      <c:layout>
        <c:manualLayout>
          <c:xMode val="edge"/>
          <c:yMode val="edge"/>
          <c:x val="0.1891804461942257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Δt = 0.1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'eps0.1_peddle'!$C$13:$AE$13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</c:numCache>
            </c:numRef>
          </c:xVal>
          <c:yVal>
            <c:numRef>
              <c:f>'eps0.1_peddle'!$C$15:$AE$15</c:f>
              <c:numCache>
                <c:formatCode>General</c:formatCode>
                <c:ptCount val="29"/>
                <c:pt idx="0">
                  <c:v>0.51333786000000003</c:v>
                </c:pt>
                <c:pt idx="1">
                  <c:v>0.42543343</c:v>
                </c:pt>
                <c:pt idx="2" formatCode="0.00E+00">
                  <c:v>0.33461592000000001</c:v>
                </c:pt>
                <c:pt idx="3">
                  <c:v>0.25144856999999998</c:v>
                </c:pt>
                <c:pt idx="4">
                  <c:v>0.17444696000000001</c:v>
                </c:pt>
                <c:pt idx="5">
                  <c:v>0.10827784</c:v>
                </c:pt>
                <c:pt idx="6">
                  <c:v>6.1517090000000003E-2</c:v>
                </c:pt>
                <c:pt idx="7">
                  <c:v>3.8221119999999997E-2</c:v>
                </c:pt>
                <c:pt idx="8">
                  <c:v>2.698447E-2</c:v>
                </c:pt>
                <c:pt idx="9">
                  <c:v>2.6181900000000001E-2</c:v>
                </c:pt>
                <c:pt idx="10">
                  <c:v>2.2492669999999999E-2</c:v>
                </c:pt>
                <c:pt idx="11">
                  <c:v>1.6654510000000001E-2</c:v>
                </c:pt>
                <c:pt idx="12">
                  <c:v>1.3788949999999999E-2</c:v>
                </c:pt>
                <c:pt idx="13">
                  <c:v>1.370584E-2</c:v>
                </c:pt>
                <c:pt idx="14">
                  <c:v>1.414546E-2</c:v>
                </c:pt>
                <c:pt idx="15">
                  <c:v>1.470137E-2</c:v>
                </c:pt>
                <c:pt idx="16">
                  <c:v>1.563378E-2</c:v>
                </c:pt>
                <c:pt idx="17">
                  <c:v>1.7115789999999999E-2</c:v>
                </c:pt>
                <c:pt idx="18">
                  <c:v>1.8072479999999998E-2</c:v>
                </c:pt>
                <c:pt idx="19">
                  <c:v>1.753004E-2</c:v>
                </c:pt>
                <c:pt idx="20">
                  <c:v>1.580436E-2</c:v>
                </c:pt>
                <c:pt idx="21">
                  <c:v>1.450362E-2</c:v>
                </c:pt>
                <c:pt idx="22">
                  <c:v>1.4611229999999999E-2</c:v>
                </c:pt>
                <c:pt idx="23">
                  <c:v>1.51878E-2</c:v>
                </c:pt>
                <c:pt idx="24">
                  <c:v>1.5422989999999999E-2</c:v>
                </c:pt>
                <c:pt idx="25">
                  <c:v>1.513685E-2</c:v>
                </c:pt>
                <c:pt idx="26">
                  <c:v>1.461316E-2</c:v>
                </c:pt>
                <c:pt idx="27">
                  <c:v>1.431925E-2</c:v>
                </c:pt>
                <c:pt idx="28">
                  <c:v>1.447121E-2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2B-497D-A8A7-2DBF9883DC12}"/>
            </c:ext>
          </c:extLst>
        </c:ser>
        <c:ser>
          <c:idx val="1"/>
          <c:order val="1"/>
          <c:tx>
            <c:v>Δt = 0.2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'eps0.1_peddle'!$C$13:$AE$13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</c:numCache>
            </c:numRef>
          </c:xVal>
          <c:yVal>
            <c:numRef>
              <c:f>'eps0.1_peddle'!$C$16:$AE$16</c:f>
              <c:numCache>
                <c:formatCode>General</c:formatCode>
                <c:ptCount val="29"/>
                <c:pt idx="0">
                  <c:v>0.38942157999999999</c:v>
                </c:pt>
                <c:pt idx="1">
                  <c:v>0.33020612999999999</c:v>
                </c:pt>
                <c:pt idx="2">
                  <c:v>0.26016665</c:v>
                </c:pt>
                <c:pt idx="3">
                  <c:v>0.19152150000000001</c:v>
                </c:pt>
                <c:pt idx="4">
                  <c:v>0.13064661</c:v>
                </c:pt>
                <c:pt idx="5">
                  <c:v>8.3610690000000001E-2</c:v>
                </c:pt>
                <c:pt idx="6">
                  <c:v>0</c:v>
                </c:pt>
                <c:pt idx="7">
                  <c:v>5.5003240000000002E-2</c:v>
                </c:pt>
                <c:pt idx="8">
                  <c:v>5.5957420000000001E-2</c:v>
                </c:pt>
                <c:pt idx="9">
                  <c:v>5.6383000000000003E-2</c:v>
                </c:pt>
                <c:pt idx="10">
                  <c:v>5.3796860000000002E-2</c:v>
                </c:pt>
                <c:pt idx="11">
                  <c:v>5.0136399999999998E-2</c:v>
                </c:pt>
                <c:pt idx="12">
                  <c:v>4.7386980000000002E-2</c:v>
                </c:pt>
                <c:pt idx="13">
                  <c:v>4.6033490000000003E-2</c:v>
                </c:pt>
                <c:pt idx="14">
                  <c:v>4.6045009999999997E-2</c:v>
                </c:pt>
                <c:pt idx="15">
                  <c:v>4.7073490000000003E-2</c:v>
                </c:pt>
                <c:pt idx="16">
                  <c:v>4.855723E-2</c:v>
                </c:pt>
                <c:pt idx="17">
                  <c:v>4.9911959999999998E-2</c:v>
                </c:pt>
                <c:pt idx="18">
                  <c:v>5.0579239999999998E-2</c:v>
                </c:pt>
                <c:pt idx="19">
                  <c:v>5.034077E-2</c:v>
                </c:pt>
                <c:pt idx="20">
                  <c:v>4.9421119999999999E-2</c:v>
                </c:pt>
                <c:pt idx="21">
                  <c:v>4.8292660000000001E-2</c:v>
                </c:pt>
                <c:pt idx="22">
                  <c:v>4.736812E-2</c:v>
                </c:pt>
                <c:pt idx="23">
                  <c:v>4.6750949999999999E-2</c:v>
                </c:pt>
                <c:pt idx="24">
                  <c:v>4.6492409999999998E-2</c:v>
                </c:pt>
                <c:pt idx="25">
                  <c:v>4.6586580000000002E-2</c:v>
                </c:pt>
                <c:pt idx="26">
                  <c:v>4.6946130000000003E-2</c:v>
                </c:pt>
                <c:pt idx="27">
                  <c:v>4.7455329999999997E-2</c:v>
                </c:pt>
                <c:pt idx="28">
                  <c:v>4.7965290000000001E-2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2B-497D-A8A7-2DBF9883DC12}"/>
            </c:ext>
          </c:extLst>
        </c:ser>
        <c:ser>
          <c:idx val="2"/>
          <c:order val="2"/>
          <c:tx>
            <c:v>Δt = 0.3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'eps0.1_peddle'!$C$13:$AE$13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</c:numCache>
            </c:numRef>
          </c:xVal>
          <c:yVal>
            <c:numRef>
              <c:f>'eps0.1_peddle'!$C$17:$AE$17</c:f>
              <c:numCache>
                <c:formatCode>General</c:formatCode>
                <c:ptCount val="29"/>
                <c:pt idx="0">
                  <c:v>0.23721461999999999</c:v>
                </c:pt>
                <c:pt idx="1">
                  <c:v>0.20522842999999999</c:v>
                </c:pt>
                <c:pt idx="2">
                  <c:v>0.16612252</c:v>
                </c:pt>
                <c:pt idx="3">
                  <c:v>0.12900111</c:v>
                </c:pt>
                <c:pt idx="4">
                  <c:v>9.906479E-2</c:v>
                </c:pt>
                <c:pt idx="5">
                  <c:v>8.0117389999999997E-2</c:v>
                </c:pt>
                <c:pt idx="6">
                  <c:v>7.2992169999999995E-2</c:v>
                </c:pt>
                <c:pt idx="7">
                  <c:v>7.3383240000000002E-2</c:v>
                </c:pt>
                <c:pt idx="8">
                  <c:v>7.5540510000000005E-2</c:v>
                </c:pt>
                <c:pt idx="9">
                  <c:v>7.627188E-2</c:v>
                </c:pt>
                <c:pt idx="10">
                  <c:v>7.5460550000000001E-2</c:v>
                </c:pt>
                <c:pt idx="11">
                  <c:v>7.4193690000000007E-2</c:v>
                </c:pt>
                <c:pt idx="12">
                  <c:v>7.318289E-2</c:v>
                </c:pt>
                <c:pt idx="13">
                  <c:v>7.2642960000000006E-2</c:v>
                </c:pt>
                <c:pt idx="14">
                  <c:v>7.2593270000000001E-2</c:v>
                </c:pt>
                <c:pt idx="15">
                  <c:v>7.2960479999999994E-2</c:v>
                </c:pt>
                <c:pt idx="16">
                  <c:v>7.3551740000000004E-2</c:v>
                </c:pt>
                <c:pt idx="17">
                  <c:v>7.4093350000000002E-2</c:v>
                </c:pt>
                <c:pt idx="18">
                  <c:v>7.4339760000000005E-2</c:v>
                </c:pt>
                <c:pt idx="19">
                  <c:v>7.4227570000000007E-2</c:v>
                </c:pt>
                <c:pt idx="20">
                  <c:v>7.3829859999999997E-2</c:v>
                </c:pt>
                <c:pt idx="21">
                  <c:v>7.3303850000000004E-2</c:v>
                </c:pt>
                <c:pt idx="22">
                  <c:v>7.2826829999999995E-2</c:v>
                </c:pt>
                <c:pt idx="23">
                  <c:v>7.2506899999999999E-2</c:v>
                </c:pt>
                <c:pt idx="24">
                  <c:v>7.2387720000000003E-2</c:v>
                </c:pt>
                <c:pt idx="25">
                  <c:v>7.2455450000000005E-2</c:v>
                </c:pt>
                <c:pt idx="26">
                  <c:v>7.2659710000000002E-2</c:v>
                </c:pt>
                <c:pt idx="27">
                  <c:v>7.2924669999999997E-2</c:v>
                </c:pt>
                <c:pt idx="28">
                  <c:v>7.3171929999999996E-2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2B-497D-A8A7-2DBF9883D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399192"/>
        <c:axId val="456400832"/>
      </c:scatterChart>
      <c:valAx>
        <c:axId val="456399192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none" strike="noStrike" baseline="0">
                    <a:effectLst/>
                  </a:rPr>
                  <a:t>𝜂_C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00832"/>
        <c:crossesAt val="1.0000000000000002E-2"/>
        <c:crossBetween val="midCat"/>
      </c:valAx>
      <c:valAx>
        <c:axId val="4564008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Solution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99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'eps0.1_peddle'!$C$20:$AE$20</c:f>
              <c:numCache>
                <c:formatCode>General</c:formatCode>
                <c:ptCount val="29"/>
                <c:pt idx="0">
                  <c:v>1.6570048799999999</c:v>
                </c:pt>
                <c:pt idx="1">
                  <c:v>1.43453355</c:v>
                </c:pt>
                <c:pt idx="2">
                  <c:v>1.1361613100000001</c:v>
                </c:pt>
                <c:pt idx="3">
                  <c:v>0.82464139000000003</c:v>
                </c:pt>
                <c:pt idx="4">
                  <c:v>0.54111410999999998</c:v>
                </c:pt>
                <c:pt idx="5">
                  <c:v>0.30484296999999999</c:v>
                </c:pt>
                <c:pt idx="6">
                  <c:v>0.14211956000000001</c:v>
                </c:pt>
                <c:pt idx="7">
                  <c:v>0.11167320999999999</c:v>
                </c:pt>
                <c:pt idx="8">
                  <c:v>0.14389640000000001</c:v>
                </c:pt>
                <c:pt idx="9">
                  <c:v>0.16278328</c:v>
                </c:pt>
                <c:pt idx="10">
                  <c:v>0.15028569</c:v>
                </c:pt>
                <c:pt idx="11">
                  <c:v>0.12440387</c:v>
                </c:pt>
                <c:pt idx="12">
                  <c:v>0.10361231</c:v>
                </c:pt>
                <c:pt idx="13">
                  <c:v>9.516579E-2</c:v>
                </c:pt>
                <c:pt idx="14">
                  <c:v>9.6847710000000004E-2</c:v>
                </c:pt>
                <c:pt idx="15">
                  <c:v>0.10436891</c:v>
                </c:pt>
                <c:pt idx="16">
                  <c:v>0.1147833</c:v>
                </c:pt>
                <c:pt idx="17">
                  <c:v>0.12489748000000001</c:v>
                </c:pt>
                <c:pt idx="18">
                  <c:v>0.13036787</c:v>
                </c:pt>
                <c:pt idx="19">
                  <c:v>0.12818723000000001</c:v>
                </c:pt>
                <c:pt idx="20">
                  <c:v>0.11929634</c:v>
                </c:pt>
                <c:pt idx="21">
                  <c:v>0.10785347000000001</c:v>
                </c:pt>
                <c:pt idx="22">
                  <c:v>9.8187540000000004E-2</c:v>
                </c:pt>
                <c:pt idx="23">
                  <c:v>9.2271510000000001E-2</c:v>
                </c:pt>
                <c:pt idx="24">
                  <c:v>9.0088840000000003E-2</c:v>
                </c:pt>
                <c:pt idx="25">
                  <c:v>9.1154429999999995E-2</c:v>
                </c:pt>
                <c:pt idx="26">
                  <c:v>9.4952289999999995E-2</c:v>
                </c:pt>
                <c:pt idx="27">
                  <c:v>0.10048264</c:v>
                </c:pt>
                <c:pt idx="28">
                  <c:v>0.1059996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8-3142-8942-9131B5CAF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3620799"/>
        <c:axId val="943622511"/>
      </c:lineChart>
      <c:catAx>
        <c:axId val="94362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622511"/>
        <c:crosses val="autoZero"/>
        <c:auto val="1"/>
        <c:lblAlgn val="ctr"/>
        <c:lblOffset val="100"/>
        <c:noMultiLvlLbl val="0"/>
      </c:catAx>
      <c:valAx>
        <c:axId val="94362251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62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Gaussian RSWEs, </a:t>
            </a:r>
            <a:r>
              <a:rPr lang="el-GR"/>
              <a:t>η</a:t>
            </a:r>
            <a:r>
              <a:rPr lang="en-GB"/>
              <a:t>_C Peddle Plot, </a:t>
            </a:r>
            <a:r>
              <a:rPr lang="el-GR"/>
              <a:t>ϵ</a:t>
            </a:r>
            <a:r>
              <a:rPr lang="en-GB"/>
              <a:t>=0.1  </a:t>
            </a:r>
          </a:p>
        </c:rich>
      </c:tx>
      <c:layout>
        <c:manualLayout>
          <c:xMode val="edge"/>
          <c:yMode val="edge"/>
          <c:x val="0.1826734470691163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Δt = 0.1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'eps0.1_peddle'!$C$13:$AE$13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</c:numCache>
            </c:numRef>
          </c:xVal>
          <c:yVal>
            <c:numRef>
              <c:f>'eps0.1_peddle'!$C$15:$AE$15</c:f>
              <c:numCache>
                <c:formatCode>General</c:formatCode>
                <c:ptCount val="29"/>
                <c:pt idx="0">
                  <c:v>0.51333786000000003</c:v>
                </c:pt>
                <c:pt idx="1">
                  <c:v>0.42543343</c:v>
                </c:pt>
                <c:pt idx="2" formatCode="0.00E+00">
                  <c:v>0.33461592000000001</c:v>
                </c:pt>
                <c:pt idx="3">
                  <c:v>0.25144856999999998</c:v>
                </c:pt>
                <c:pt idx="4">
                  <c:v>0.17444696000000001</c:v>
                </c:pt>
                <c:pt idx="5">
                  <c:v>0.10827784</c:v>
                </c:pt>
                <c:pt idx="6">
                  <c:v>6.1517090000000003E-2</c:v>
                </c:pt>
                <c:pt idx="7">
                  <c:v>3.8221119999999997E-2</c:v>
                </c:pt>
                <c:pt idx="8">
                  <c:v>2.698447E-2</c:v>
                </c:pt>
                <c:pt idx="9">
                  <c:v>2.6181900000000001E-2</c:v>
                </c:pt>
                <c:pt idx="10">
                  <c:v>2.2492669999999999E-2</c:v>
                </c:pt>
                <c:pt idx="11">
                  <c:v>1.6654510000000001E-2</c:v>
                </c:pt>
                <c:pt idx="12">
                  <c:v>1.3788949999999999E-2</c:v>
                </c:pt>
                <c:pt idx="13">
                  <c:v>1.370584E-2</c:v>
                </c:pt>
                <c:pt idx="14">
                  <c:v>1.414546E-2</c:v>
                </c:pt>
                <c:pt idx="15">
                  <c:v>1.470137E-2</c:v>
                </c:pt>
                <c:pt idx="16">
                  <c:v>1.563378E-2</c:v>
                </c:pt>
                <c:pt idx="17">
                  <c:v>1.7115789999999999E-2</c:v>
                </c:pt>
                <c:pt idx="18">
                  <c:v>1.8072479999999998E-2</c:v>
                </c:pt>
                <c:pt idx="19">
                  <c:v>1.753004E-2</c:v>
                </c:pt>
                <c:pt idx="20">
                  <c:v>1.580436E-2</c:v>
                </c:pt>
                <c:pt idx="21">
                  <c:v>1.450362E-2</c:v>
                </c:pt>
                <c:pt idx="22">
                  <c:v>1.4611229999999999E-2</c:v>
                </c:pt>
                <c:pt idx="23">
                  <c:v>1.51878E-2</c:v>
                </c:pt>
                <c:pt idx="24">
                  <c:v>1.5422989999999999E-2</c:v>
                </c:pt>
                <c:pt idx="25">
                  <c:v>1.513685E-2</c:v>
                </c:pt>
                <c:pt idx="26">
                  <c:v>1.461316E-2</c:v>
                </c:pt>
                <c:pt idx="27">
                  <c:v>1.431925E-2</c:v>
                </c:pt>
                <c:pt idx="28">
                  <c:v>1.447121E-2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0C-E644-AE08-C6000B46FAF1}"/>
            </c:ext>
          </c:extLst>
        </c:ser>
        <c:ser>
          <c:idx val="1"/>
          <c:order val="1"/>
          <c:tx>
            <c:v>Δt = 0.2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'eps0.1_peddle'!$C$20:$AE$20</c:f>
              <c:numCache>
                <c:formatCode>General</c:formatCode>
                <c:ptCount val="29"/>
                <c:pt idx="0">
                  <c:v>1.6570048799999999</c:v>
                </c:pt>
                <c:pt idx="1">
                  <c:v>1.43453355</c:v>
                </c:pt>
                <c:pt idx="2">
                  <c:v>1.1361613100000001</c:v>
                </c:pt>
                <c:pt idx="3">
                  <c:v>0.82464139000000003</c:v>
                </c:pt>
                <c:pt idx="4">
                  <c:v>0.54111410999999998</c:v>
                </c:pt>
                <c:pt idx="5">
                  <c:v>0.30484296999999999</c:v>
                </c:pt>
                <c:pt idx="6">
                  <c:v>0.14211956000000001</c:v>
                </c:pt>
                <c:pt idx="7">
                  <c:v>0.11167320999999999</c:v>
                </c:pt>
                <c:pt idx="8">
                  <c:v>0.14389640000000001</c:v>
                </c:pt>
                <c:pt idx="9">
                  <c:v>0.16278328</c:v>
                </c:pt>
                <c:pt idx="10">
                  <c:v>0.15028569</c:v>
                </c:pt>
                <c:pt idx="11">
                  <c:v>0.12440387</c:v>
                </c:pt>
                <c:pt idx="12">
                  <c:v>0.10361231</c:v>
                </c:pt>
                <c:pt idx="13">
                  <c:v>9.516579E-2</c:v>
                </c:pt>
                <c:pt idx="14">
                  <c:v>9.6847710000000004E-2</c:v>
                </c:pt>
                <c:pt idx="15">
                  <c:v>0.10436891</c:v>
                </c:pt>
                <c:pt idx="16">
                  <c:v>0.1147833</c:v>
                </c:pt>
                <c:pt idx="17">
                  <c:v>0.12489748000000001</c:v>
                </c:pt>
                <c:pt idx="18">
                  <c:v>0.13036787</c:v>
                </c:pt>
                <c:pt idx="19">
                  <c:v>0.12818723000000001</c:v>
                </c:pt>
                <c:pt idx="20">
                  <c:v>0.11929634</c:v>
                </c:pt>
                <c:pt idx="21">
                  <c:v>0.10785347000000001</c:v>
                </c:pt>
                <c:pt idx="22">
                  <c:v>9.8187540000000004E-2</c:v>
                </c:pt>
                <c:pt idx="23">
                  <c:v>9.2271510000000001E-2</c:v>
                </c:pt>
                <c:pt idx="24">
                  <c:v>9.0088840000000003E-2</c:v>
                </c:pt>
                <c:pt idx="25">
                  <c:v>9.1154429999999995E-2</c:v>
                </c:pt>
                <c:pt idx="26">
                  <c:v>9.4952289999999995E-2</c:v>
                </c:pt>
                <c:pt idx="27">
                  <c:v>0.10048264</c:v>
                </c:pt>
                <c:pt idx="28">
                  <c:v>0.1059996</c:v>
                </c:pt>
              </c:numCache>
            </c:numRef>
          </c:xVal>
          <c:yVal>
            <c:numRef>
              <c:f>'eps0.1_peddle'!$C$16:$AE$16</c:f>
              <c:numCache>
                <c:formatCode>General</c:formatCode>
                <c:ptCount val="29"/>
                <c:pt idx="0">
                  <c:v>0.38942157999999999</c:v>
                </c:pt>
                <c:pt idx="1">
                  <c:v>0.33020612999999999</c:v>
                </c:pt>
                <c:pt idx="2">
                  <c:v>0.26016665</c:v>
                </c:pt>
                <c:pt idx="3">
                  <c:v>0.19152150000000001</c:v>
                </c:pt>
                <c:pt idx="4">
                  <c:v>0.13064661</c:v>
                </c:pt>
                <c:pt idx="5">
                  <c:v>8.3610690000000001E-2</c:v>
                </c:pt>
                <c:pt idx="6">
                  <c:v>0</c:v>
                </c:pt>
                <c:pt idx="7">
                  <c:v>5.5003240000000002E-2</c:v>
                </c:pt>
                <c:pt idx="8">
                  <c:v>5.5957420000000001E-2</c:v>
                </c:pt>
                <c:pt idx="9">
                  <c:v>5.6383000000000003E-2</c:v>
                </c:pt>
                <c:pt idx="10">
                  <c:v>5.3796860000000002E-2</c:v>
                </c:pt>
                <c:pt idx="11">
                  <c:v>5.0136399999999998E-2</c:v>
                </c:pt>
                <c:pt idx="12">
                  <c:v>4.7386980000000002E-2</c:v>
                </c:pt>
                <c:pt idx="13">
                  <c:v>4.6033490000000003E-2</c:v>
                </c:pt>
                <c:pt idx="14">
                  <c:v>4.6045009999999997E-2</c:v>
                </c:pt>
                <c:pt idx="15">
                  <c:v>4.7073490000000003E-2</c:v>
                </c:pt>
                <c:pt idx="16">
                  <c:v>4.855723E-2</c:v>
                </c:pt>
                <c:pt idx="17">
                  <c:v>4.9911959999999998E-2</c:v>
                </c:pt>
                <c:pt idx="18">
                  <c:v>5.0579239999999998E-2</c:v>
                </c:pt>
                <c:pt idx="19">
                  <c:v>5.034077E-2</c:v>
                </c:pt>
                <c:pt idx="20">
                  <c:v>4.9421119999999999E-2</c:v>
                </c:pt>
                <c:pt idx="21">
                  <c:v>4.8292660000000001E-2</c:v>
                </c:pt>
                <c:pt idx="22">
                  <c:v>4.736812E-2</c:v>
                </c:pt>
                <c:pt idx="23">
                  <c:v>4.6750949999999999E-2</c:v>
                </c:pt>
                <c:pt idx="24">
                  <c:v>4.6492409999999998E-2</c:v>
                </c:pt>
                <c:pt idx="25">
                  <c:v>4.6586580000000002E-2</c:v>
                </c:pt>
                <c:pt idx="26">
                  <c:v>4.6946130000000003E-2</c:v>
                </c:pt>
                <c:pt idx="27">
                  <c:v>4.7455329999999997E-2</c:v>
                </c:pt>
                <c:pt idx="28">
                  <c:v>4.7965290000000001E-2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0C-E644-AE08-C6000B46FAF1}"/>
            </c:ext>
          </c:extLst>
        </c:ser>
        <c:ser>
          <c:idx val="2"/>
          <c:order val="2"/>
          <c:tx>
            <c:v>Δt = 0.3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'eps0.1_peddle'!$C$13:$AE$13</c:f>
              <c:numCache>
                <c:formatCode>General</c:formatCode>
                <c:ptCount val="2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</c:numCache>
            </c:numRef>
          </c:xVal>
          <c:yVal>
            <c:numRef>
              <c:f>'eps0.1_peddle'!$C$17:$AE$17</c:f>
              <c:numCache>
                <c:formatCode>General</c:formatCode>
                <c:ptCount val="29"/>
                <c:pt idx="0">
                  <c:v>0.23721461999999999</c:v>
                </c:pt>
                <c:pt idx="1">
                  <c:v>0.20522842999999999</c:v>
                </c:pt>
                <c:pt idx="2">
                  <c:v>0.16612252</c:v>
                </c:pt>
                <c:pt idx="3">
                  <c:v>0.12900111</c:v>
                </c:pt>
                <c:pt idx="4">
                  <c:v>9.906479E-2</c:v>
                </c:pt>
                <c:pt idx="5">
                  <c:v>8.0117389999999997E-2</c:v>
                </c:pt>
                <c:pt idx="6">
                  <c:v>7.2992169999999995E-2</c:v>
                </c:pt>
                <c:pt idx="7">
                  <c:v>7.3383240000000002E-2</c:v>
                </c:pt>
                <c:pt idx="8">
                  <c:v>7.5540510000000005E-2</c:v>
                </c:pt>
                <c:pt idx="9">
                  <c:v>7.627188E-2</c:v>
                </c:pt>
                <c:pt idx="10">
                  <c:v>7.5460550000000001E-2</c:v>
                </c:pt>
                <c:pt idx="11">
                  <c:v>7.4193690000000007E-2</c:v>
                </c:pt>
                <c:pt idx="12">
                  <c:v>7.318289E-2</c:v>
                </c:pt>
                <c:pt idx="13">
                  <c:v>7.2642960000000006E-2</c:v>
                </c:pt>
                <c:pt idx="14">
                  <c:v>7.2593270000000001E-2</c:v>
                </c:pt>
                <c:pt idx="15">
                  <c:v>7.2960479999999994E-2</c:v>
                </c:pt>
                <c:pt idx="16">
                  <c:v>7.3551740000000004E-2</c:v>
                </c:pt>
                <c:pt idx="17">
                  <c:v>7.4093350000000002E-2</c:v>
                </c:pt>
                <c:pt idx="18">
                  <c:v>7.4339760000000005E-2</c:v>
                </c:pt>
                <c:pt idx="19">
                  <c:v>7.4227570000000007E-2</c:v>
                </c:pt>
                <c:pt idx="20">
                  <c:v>7.3829859999999997E-2</c:v>
                </c:pt>
                <c:pt idx="21">
                  <c:v>7.3303850000000004E-2</c:v>
                </c:pt>
                <c:pt idx="22">
                  <c:v>7.2826829999999995E-2</c:v>
                </c:pt>
                <c:pt idx="23">
                  <c:v>7.2506899999999999E-2</c:v>
                </c:pt>
                <c:pt idx="24">
                  <c:v>7.2387720000000003E-2</c:v>
                </c:pt>
                <c:pt idx="25">
                  <c:v>7.2455450000000005E-2</c:v>
                </c:pt>
                <c:pt idx="26">
                  <c:v>7.2659710000000002E-2</c:v>
                </c:pt>
                <c:pt idx="27">
                  <c:v>7.2924669999999997E-2</c:v>
                </c:pt>
                <c:pt idx="28">
                  <c:v>7.3171929999999996E-2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0C-E644-AE08-C6000B46F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399192"/>
        <c:axId val="456400832"/>
      </c:scatterChart>
      <c:valAx>
        <c:axId val="456399192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𝜂_C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00832"/>
        <c:crossesAt val="1.0000000000000002E-2"/>
        <c:crossBetween val="midCat"/>
      </c:valAx>
      <c:valAx>
        <c:axId val="4564008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Solution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99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'eps0.05'!$A$3:$A$9</c:f>
              <c:numCache>
                <c:formatCode>General</c:formatCode>
                <c:ptCount val="7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</c:numCache>
            </c:numRef>
          </c:cat>
          <c:val>
            <c:numRef>
              <c:f>'eps0.05'!$C$3:$C$9</c:f>
              <c:numCache>
                <c:formatCode>General</c:formatCode>
                <c:ptCount val="7"/>
                <c:pt idx="0">
                  <c:v>7.6124809307006203E-3</c:v>
                </c:pt>
                <c:pt idx="1">
                  <c:v>2.96112604544959E-2</c:v>
                </c:pt>
                <c:pt idx="2">
                  <c:v>4.4819545215445199E-2</c:v>
                </c:pt>
                <c:pt idx="3">
                  <c:v>3.418375498785E-2</c:v>
                </c:pt>
                <c:pt idx="4">
                  <c:v>6.9930617971265902E-2</c:v>
                </c:pt>
                <c:pt idx="5">
                  <c:v>7.0447275712074903E-2</c:v>
                </c:pt>
                <c:pt idx="6">
                  <c:v>7.6862222794224694E-2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51-B24D-8323-D38B65B6CA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'eps0.05'!$A$3:$A$9</c:f>
              <c:numCache>
                <c:formatCode>General</c:formatCode>
                <c:ptCount val="7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</c:numCache>
            </c:numRef>
          </c:cat>
          <c:val>
            <c:numRef>
              <c:f>'eps0.05'!$G$3:$G$9</c:f>
              <c:numCache>
                <c:formatCode>General</c:formatCode>
                <c:ptCount val="7"/>
                <c:pt idx="0">
                  <c:v>7.05271445883971E-3</c:v>
                </c:pt>
                <c:pt idx="1">
                  <c:v>2.41746991744121E-2</c:v>
                </c:pt>
                <c:pt idx="2">
                  <c:v>3.6381742181796399E-2</c:v>
                </c:pt>
                <c:pt idx="3">
                  <c:v>2.7892114298772301E-2</c:v>
                </c:pt>
                <c:pt idx="4">
                  <c:v>6.2260688735969197E-2</c:v>
                </c:pt>
                <c:pt idx="5">
                  <c:v>6.46887473824935E-2</c:v>
                </c:pt>
                <c:pt idx="6">
                  <c:v>7.0390372028505399E-2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51-B24D-8323-D38B65B6C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768623"/>
        <c:axId val="1256770335"/>
      </c:lineChart>
      <c:catAx>
        <c:axId val="125676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770335"/>
        <c:crosses val="autoZero"/>
        <c:auto val="1"/>
        <c:lblAlgn val="ctr"/>
        <c:lblOffset val="100"/>
        <c:noMultiLvlLbl val="0"/>
      </c:catAx>
      <c:valAx>
        <c:axId val="125677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76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Gaussian eta_C plot,</a:t>
            </a:r>
            <a:r>
              <a:rPr lang="en-GB" baseline="0"/>
              <a:t> eps=0.05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'eps0.05_peddle'!$B$4</c:f>
              <c:strCache>
                <c:ptCount val="1"/>
                <c:pt idx="0">
                  <c:v>Δt=0.1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'eps0.05_peddle'!$C$4:$AE$4</c:f>
              <c:numCache>
                <c:formatCode>0.00E+00</c:formatCode>
                <c:ptCount val="29"/>
                <c:pt idx="0">
                  <c:v>4.0651866681720801</c:v>
                </c:pt>
                <c:pt idx="1">
                  <c:v>3.5763620280301698</c:v>
                </c:pt>
                <c:pt idx="2">
                  <c:v>2.86532132425685</c:v>
                </c:pt>
                <c:pt idx="3">
                  <c:v>2.05481619057689</c:v>
                </c:pt>
                <c:pt idx="4">
                  <c:v>1.2587748490649999</c:v>
                </c:pt>
                <c:pt idx="5">
                  <c:v>0.57116693768668103</c:v>
                </c:pt>
                <c:pt idx="6">
                  <c:v>0.13209789944995201</c:v>
                </c:pt>
                <c:pt idx="7">
                  <c:v>0.29930016674903398</c:v>
                </c:pt>
                <c:pt idx="8">
                  <c:v>0.42202969394522999</c:v>
                </c:pt>
                <c:pt idx="9">
                  <c:v>0.38955060341028902</c:v>
                </c:pt>
                <c:pt idx="10">
                  <c:v>0.263317183960533</c:v>
                </c:pt>
                <c:pt idx="11">
                  <c:v>0.11499660066489301</c:v>
                </c:pt>
                <c:pt idx="12">
                  <c:v>6.1874048619420002E-2</c:v>
                </c:pt>
                <c:pt idx="13">
                  <c:v>0.113474430344656</c:v>
                </c:pt>
                <c:pt idx="14">
                  <c:v>0.12685367631309499</c:v>
                </c:pt>
                <c:pt idx="15">
                  <c:v>9.4273407831899497E-2</c:v>
                </c:pt>
                <c:pt idx="16">
                  <c:v>4.2870759584123598E-2</c:v>
                </c:pt>
                <c:pt idx="17">
                  <c:v>5.2423417340601797E-2</c:v>
                </c:pt>
                <c:pt idx="18">
                  <c:v>8.8849901655733199E-2</c:v>
                </c:pt>
                <c:pt idx="19">
                  <c:v>0.101740683136851</c:v>
                </c:pt>
                <c:pt idx="20">
                  <c:v>8.9668757167722907E-2</c:v>
                </c:pt>
                <c:pt idx="21">
                  <c:v>6.3246253237789707E-2</c:v>
                </c:pt>
                <c:pt idx="22">
                  <c:v>3.9843934508113202E-2</c:v>
                </c:pt>
                <c:pt idx="23">
                  <c:v>3.7390713541898601E-2</c:v>
                </c:pt>
                <c:pt idx="24">
                  <c:v>4.1935893425834501E-2</c:v>
                </c:pt>
                <c:pt idx="25">
                  <c:v>4.0241877018071803E-2</c:v>
                </c:pt>
                <c:pt idx="26">
                  <c:v>3.6980514670220503E-2</c:v>
                </c:pt>
                <c:pt idx="27">
                  <c:v>4.2112944450798398E-2</c:v>
                </c:pt>
                <c:pt idx="28">
                  <c:v>5.1936252718024302E-2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D2-4C1C-A6B1-148C8D3E56B0}"/>
            </c:ext>
          </c:extLst>
        </c:ser>
        <c:ser>
          <c:idx val="1"/>
          <c:order val="1"/>
          <c:tx>
            <c:strRef>
              <c:f>'eps0.05_peddle'!$B$5</c:f>
              <c:strCache>
                <c:ptCount val="1"/>
                <c:pt idx="0">
                  <c:v>Δt=0.15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'eps0.05_peddle'!$C$5:$AE$5</c:f>
              <c:numCache>
                <c:formatCode>0.00E+00</c:formatCode>
                <c:ptCount val="29"/>
                <c:pt idx="0">
                  <c:v>1.9941101460794799</c:v>
                </c:pt>
                <c:pt idx="1">
                  <c:v>1.7640400634785001</c:v>
                </c:pt>
                <c:pt idx="2">
                  <c:v>1.4224182938054299</c:v>
                </c:pt>
                <c:pt idx="3">
                  <c:v>1.0215849345222401</c:v>
                </c:pt>
                <c:pt idx="4">
                  <c:v>0.62009249011629397</c:v>
                </c:pt>
                <c:pt idx="5">
                  <c:v>0.27243603876489902</c:v>
                </c:pt>
                <c:pt idx="6">
                  <c:v>6.02694983075205E-2</c:v>
                </c:pt>
                <c:pt idx="7">
                  <c:v>0.181239732285286</c:v>
                </c:pt>
                <c:pt idx="8">
                  <c:v>0.24007473992417</c:v>
                </c:pt>
                <c:pt idx="9">
                  <c:v>0.224234829347735</c:v>
                </c:pt>
                <c:pt idx="10">
                  <c:v>0.16413667741943799</c:v>
                </c:pt>
                <c:pt idx="11">
                  <c:v>9.5683657601666E-2</c:v>
                </c:pt>
                <c:pt idx="12">
                  <c:v>6.0236421418933303E-2</c:v>
                </c:pt>
                <c:pt idx="13">
                  <c:v>7.3261267646100803E-2</c:v>
                </c:pt>
                <c:pt idx="14">
                  <c:v>7.8346452842229505E-2</c:v>
                </c:pt>
                <c:pt idx="15">
                  <c:v>6.7960823954645005E-2</c:v>
                </c:pt>
                <c:pt idx="16">
                  <c:v>6.0139717858670901E-2</c:v>
                </c:pt>
                <c:pt idx="17">
                  <c:v>7.1228369172165698E-2</c:v>
                </c:pt>
                <c:pt idx="18">
                  <c:v>8.5636541257673296E-2</c:v>
                </c:pt>
                <c:pt idx="19">
                  <c:v>9.1212872248199503E-2</c:v>
                </c:pt>
                <c:pt idx="20">
                  <c:v>8.6615564044957793E-2</c:v>
                </c:pt>
                <c:pt idx="21">
                  <c:v>7.6339476172607001E-2</c:v>
                </c:pt>
                <c:pt idx="22">
                  <c:v>6.6769864309298696E-2</c:v>
                </c:pt>
                <c:pt idx="23">
                  <c:v>6.1866093681042802E-2</c:v>
                </c:pt>
                <c:pt idx="24">
                  <c:v>6.0609925972953498E-2</c:v>
                </c:pt>
                <c:pt idx="25">
                  <c:v>6.10906415101845E-2</c:v>
                </c:pt>
                <c:pt idx="26">
                  <c:v>6.3378116258112502E-2</c:v>
                </c:pt>
                <c:pt idx="27">
                  <c:v>6.74794117882202E-2</c:v>
                </c:pt>
                <c:pt idx="28">
                  <c:v>7.1632566288030594E-2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D2-4C1C-A6B1-148C8D3E56B0}"/>
            </c:ext>
          </c:extLst>
        </c:ser>
        <c:ser>
          <c:idx val="2"/>
          <c:order val="2"/>
          <c:tx>
            <c:strRef>
              <c:f>'eps0.05_peddle'!$B$6</c:f>
              <c:strCache>
                <c:ptCount val="1"/>
                <c:pt idx="0">
                  <c:v>Δt=0.2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'eps0.05_peddle'!$C$6:$AE$6</c:f>
              <c:numCache>
                <c:formatCode>0.00E+00</c:formatCode>
                <c:ptCount val="29"/>
                <c:pt idx="0">
                  <c:v>1.5048528675820001</c:v>
                </c:pt>
                <c:pt idx="1">
                  <c:v>1.3306272834598101</c:v>
                </c:pt>
                <c:pt idx="2">
                  <c:v>1.0727239026114901</c:v>
                </c:pt>
                <c:pt idx="3">
                  <c:v>0.77095315564070499</c:v>
                </c:pt>
                <c:pt idx="4">
                  <c:v>0.46875644105631697</c:v>
                </c:pt>
                <c:pt idx="5">
                  <c:v>0.205660960156898</c:v>
                </c:pt>
                <c:pt idx="6">
                  <c:v>3.1221416696792299E-2</c:v>
                </c:pt>
                <c:pt idx="7">
                  <c:v>0.124036128575397</c:v>
                </c:pt>
                <c:pt idx="8">
                  <c:v>0.16964590528978701</c:v>
                </c:pt>
                <c:pt idx="9">
                  <c:v>0.157524408473356</c:v>
                </c:pt>
                <c:pt idx="10">
                  <c:v>0.111037372143692</c:v>
                </c:pt>
                <c:pt idx="11">
                  <c:v>5.7400422472365403E-2</c:v>
                </c:pt>
                <c:pt idx="12">
                  <c:v>3.4014450251652999E-2</c:v>
                </c:pt>
                <c:pt idx="13">
                  <c:v>4.84107150571043E-2</c:v>
                </c:pt>
                <c:pt idx="14">
                  <c:v>5.3151064018003499E-2</c:v>
                </c:pt>
                <c:pt idx="15">
                  <c:v>4.4346271374759903E-2</c:v>
                </c:pt>
                <c:pt idx="16">
                  <c:v>3.5319146215256399E-2</c:v>
                </c:pt>
                <c:pt idx="17">
                  <c:v>3.9622706266641203E-2</c:v>
                </c:pt>
                <c:pt idx="18">
                  <c:v>4.9998294311749798E-2</c:v>
                </c:pt>
                <c:pt idx="19">
                  <c:v>5.4237413369956501E-2</c:v>
                </c:pt>
                <c:pt idx="20">
                  <c:v>5.0845312906740402E-2</c:v>
                </c:pt>
                <c:pt idx="21">
                  <c:v>4.3259836942817702E-2</c:v>
                </c:pt>
                <c:pt idx="22">
                  <c:v>3.6666933757562803E-2</c:v>
                </c:pt>
                <c:pt idx="23">
                  <c:v>3.4288327433909402E-2</c:v>
                </c:pt>
                <c:pt idx="24">
                  <c:v>3.4019947055398202E-2</c:v>
                </c:pt>
                <c:pt idx="25">
                  <c:v>3.40357790775749E-2</c:v>
                </c:pt>
                <c:pt idx="26">
                  <c:v>3.4771830281760098E-2</c:v>
                </c:pt>
                <c:pt idx="27">
                  <c:v>3.7021648345423298E-2</c:v>
                </c:pt>
                <c:pt idx="28">
                  <c:v>3.9796296375923801E-2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D2-4C1C-A6B1-148C8D3E56B0}"/>
            </c:ext>
          </c:extLst>
        </c:ser>
        <c:ser>
          <c:idx val="3"/>
          <c:order val="3"/>
          <c:tx>
            <c:strRef>
              <c:f>'eps0.05_peddle'!$B$7</c:f>
              <c:strCache>
                <c:ptCount val="1"/>
                <c:pt idx="0">
                  <c:v>Δt=0.25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'eps0.05_peddle'!$C$7:$AE$7</c:f>
              <c:numCache>
                <c:formatCode>0.00E+00</c:formatCode>
                <c:ptCount val="29"/>
                <c:pt idx="0">
                  <c:v>0.27831776701812</c:v>
                </c:pt>
                <c:pt idx="1">
                  <c:v>0.25294015466572001</c:v>
                </c:pt>
                <c:pt idx="2">
                  <c:v>0.215407361332911</c:v>
                </c:pt>
                <c:pt idx="3">
                  <c:v>0.171973518266264</c:v>
                </c:pt>
                <c:pt idx="4">
                  <c:v>0.13097892264674399</c:v>
                </c:pt>
                <c:pt idx="5">
                  <c:v>0.100992820852791</c:v>
                </c:pt>
                <c:pt idx="6">
                  <c:v>8.68962226543048E-2</c:v>
                </c:pt>
                <c:pt idx="7">
                  <c:v>8.5134289076507802E-2</c:v>
                </c:pt>
                <c:pt idx="8">
                  <c:v>8.6146727873904996E-2</c:v>
                </c:pt>
                <c:pt idx="9">
                  <c:v>8.5882698277654698E-2</c:v>
                </c:pt>
                <c:pt idx="10">
                  <c:v>8.5596385631149394E-2</c:v>
                </c:pt>
                <c:pt idx="11">
                  <c:v>8.6650308539345994E-2</c:v>
                </c:pt>
                <c:pt idx="12">
                  <c:v>8.8454586845531702E-2</c:v>
                </c:pt>
                <c:pt idx="13">
                  <c:v>8.9847327817302494E-2</c:v>
                </c:pt>
                <c:pt idx="14">
                  <c:v>9.0145861976615602E-2</c:v>
                </c:pt>
                <c:pt idx="15">
                  <c:v>8.9519030804551897E-2</c:v>
                </c:pt>
                <c:pt idx="16">
                  <c:v>8.8527819864069296E-2</c:v>
                </c:pt>
                <c:pt idx="17">
                  <c:v>8.7666445070637006E-2</c:v>
                </c:pt>
                <c:pt idx="18">
                  <c:v>8.7098918738616304E-2</c:v>
                </c:pt>
                <c:pt idx="19">
                  <c:v>8.6840677260033597E-2</c:v>
                </c:pt>
                <c:pt idx="20">
                  <c:v>8.6848104253277394E-2</c:v>
                </c:pt>
                <c:pt idx="21">
                  <c:v>8.7063599707232903E-2</c:v>
                </c:pt>
                <c:pt idx="22">
                  <c:v>8.7387705364947693E-2</c:v>
                </c:pt>
                <c:pt idx="23">
                  <c:v>8.7676643030096396E-2</c:v>
                </c:pt>
                <c:pt idx="24">
                  <c:v>8.7808655582647804E-2</c:v>
                </c:pt>
                <c:pt idx="25">
                  <c:v>8.7748129199676506E-2</c:v>
                </c:pt>
                <c:pt idx="26">
                  <c:v>8.7558644819935694E-2</c:v>
                </c:pt>
                <c:pt idx="27">
                  <c:v>8.7345272041694497E-2</c:v>
                </c:pt>
                <c:pt idx="28">
                  <c:v>8.7199266668255601E-2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D2-4C1C-A6B1-148C8D3E56B0}"/>
            </c:ext>
          </c:extLst>
        </c:ser>
        <c:ser>
          <c:idx val="4"/>
          <c:order val="4"/>
          <c:tx>
            <c:strRef>
              <c:f>'eps0.05_peddle'!$B$8</c:f>
              <c:strCache>
                <c:ptCount val="1"/>
                <c:pt idx="0">
                  <c:v>Δt=0.3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'eps0.05_peddle'!$C$8:$AE$8</c:f>
              <c:numCache>
                <c:formatCode>0.00E+00</c:formatCode>
                <c:ptCount val="29"/>
                <c:pt idx="0">
                  <c:v>0.48982981968919198</c:v>
                </c:pt>
                <c:pt idx="1">
                  <c:v>0.43411503585894801</c:v>
                </c:pt>
                <c:pt idx="2">
                  <c:v>0.35434554564526199</c:v>
                </c:pt>
                <c:pt idx="3">
                  <c:v>0.26390202089674802</c:v>
                </c:pt>
                <c:pt idx="4">
                  <c:v>0.17753183780860299</c:v>
                </c:pt>
                <c:pt idx="5">
                  <c:v>0.11230643385318299</c:v>
                </c:pt>
                <c:pt idx="6">
                  <c:v>8.5041843503328607E-2</c:v>
                </c:pt>
                <c:pt idx="7">
                  <c:v>9.13693449251331E-2</c:v>
                </c:pt>
                <c:pt idx="8">
                  <c:v>9.8008154610133402E-2</c:v>
                </c:pt>
                <c:pt idx="9">
                  <c:v>9.56984604322247E-2</c:v>
                </c:pt>
                <c:pt idx="10">
                  <c:v>8.9365487017222495E-2</c:v>
                </c:pt>
                <c:pt idx="11">
                  <c:v>8.5453435753460497E-2</c:v>
                </c:pt>
                <c:pt idx="12">
                  <c:v>8.5861245224451099E-2</c:v>
                </c:pt>
                <c:pt idx="13">
                  <c:v>8.7650871770169295E-2</c:v>
                </c:pt>
                <c:pt idx="14">
                  <c:v>8.8139726585807807E-2</c:v>
                </c:pt>
                <c:pt idx="15">
                  <c:v>8.7136764086237398E-2</c:v>
                </c:pt>
                <c:pt idx="16">
                  <c:v>8.5880781066141207E-2</c:v>
                </c:pt>
                <c:pt idx="17">
                  <c:v>8.5257957022547098E-2</c:v>
                </c:pt>
                <c:pt idx="18">
                  <c:v>8.5264315367046706E-2</c:v>
                </c:pt>
                <c:pt idx="19">
                  <c:v>8.5309947002647102E-2</c:v>
                </c:pt>
                <c:pt idx="20">
                  <c:v>8.5145427395812795E-2</c:v>
                </c:pt>
                <c:pt idx="21">
                  <c:v>8.4984382055153199E-2</c:v>
                </c:pt>
                <c:pt idx="22">
                  <c:v>8.5015660370080501E-2</c:v>
                </c:pt>
                <c:pt idx="23">
                  <c:v>8.5178800108016803E-2</c:v>
                </c:pt>
                <c:pt idx="24">
                  <c:v>8.5285990608045203E-2</c:v>
                </c:pt>
                <c:pt idx="25">
                  <c:v>8.5235127289411905E-2</c:v>
                </c:pt>
                <c:pt idx="26">
                  <c:v>8.5104612553762601E-2</c:v>
                </c:pt>
                <c:pt idx="27">
                  <c:v>8.4987848541942398E-2</c:v>
                </c:pt>
                <c:pt idx="28">
                  <c:v>8.4952190484172796E-2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3D2-4C1C-A6B1-148C8D3E56B0}"/>
            </c:ext>
          </c:extLst>
        </c:ser>
        <c:ser>
          <c:idx val="5"/>
          <c:order val="5"/>
          <c:tx>
            <c:strRef>
              <c:f>'eps0.05_peddle'!$B$9</c:f>
              <c:strCache>
                <c:ptCount val="1"/>
                <c:pt idx="0">
                  <c:v>Δt=0.35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'eps0.05_peddle'!$C$9:$AE$9</c:f>
              <c:numCache>
                <c:formatCode>0.00E+00</c:formatCode>
                <c:ptCount val="29"/>
                <c:pt idx="0">
                  <c:v>0.46256257169713499</c:v>
                </c:pt>
                <c:pt idx="1">
                  <c:v>0.40823099231692</c:v>
                </c:pt>
                <c:pt idx="2">
                  <c:v>0.33171593343762601</c:v>
                </c:pt>
                <c:pt idx="3">
                  <c:v>0.24578006675952599</c:v>
                </c:pt>
                <c:pt idx="4">
                  <c:v>0.16564947006710101</c:v>
                </c:pt>
                <c:pt idx="5">
                  <c:v>0.107904526291945</c:v>
                </c:pt>
                <c:pt idx="6">
                  <c:v>8.6099097147462306E-2</c:v>
                </c:pt>
                <c:pt idx="7">
                  <c:v>9.2672533613795197E-2</c:v>
                </c:pt>
                <c:pt idx="8">
                  <c:v>9.8043066022696093E-2</c:v>
                </c:pt>
                <c:pt idx="9">
                  <c:v>9.5973257632801706E-2</c:v>
                </c:pt>
                <c:pt idx="10">
                  <c:v>9.04261509476149E-2</c:v>
                </c:pt>
                <c:pt idx="11">
                  <c:v>8.64815353957578E-2</c:v>
                </c:pt>
                <c:pt idx="12">
                  <c:v>8.5818309306578106E-2</c:v>
                </c:pt>
                <c:pt idx="13">
                  <c:v>8.6605594720606804E-2</c:v>
                </c:pt>
                <c:pt idx="14">
                  <c:v>8.6771844895660505E-2</c:v>
                </c:pt>
                <c:pt idx="15">
                  <c:v>8.6081039028725007E-2</c:v>
                </c:pt>
                <c:pt idx="16">
                  <c:v>8.5509522509213495E-2</c:v>
                </c:pt>
                <c:pt idx="17">
                  <c:v>8.5570020987361994E-2</c:v>
                </c:pt>
                <c:pt idx="18">
                  <c:v>8.59532982318926E-2</c:v>
                </c:pt>
                <c:pt idx="19">
                  <c:v>8.6075603266067599E-2</c:v>
                </c:pt>
                <c:pt idx="20">
                  <c:v>8.5813181626934798E-2</c:v>
                </c:pt>
                <c:pt idx="21">
                  <c:v>8.5427527752765298E-2</c:v>
                </c:pt>
                <c:pt idx="22">
                  <c:v>8.5207766622695399E-2</c:v>
                </c:pt>
                <c:pt idx="23">
                  <c:v>8.5196219424635997E-2</c:v>
                </c:pt>
                <c:pt idx="24">
                  <c:v>8.5232201657387194E-2</c:v>
                </c:pt>
                <c:pt idx="25">
                  <c:v>8.5223263104289196E-2</c:v>
                </c:pt>
                <c:pt idx="26">
                  <c:v>8.5203370796806205E-2</c:v>
                </c:pt>
                <c:pt idx="27">
                  <c:v>8.5218165643586294E-2</c:v>
                </c:pt>
                <c:pt idx="28">
                  <c:v>8.5291757496991999E-2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3D2-4C1C-A6B1-148C8D3E5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240832"/>
        <c:axId val="473250016"/>
      </c:scatterChart>
      <c:valAx>
        <c:axId val="47324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eta_C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50016"/>
        <c:crossesAt val="1.0000000000000002E-3"/>
        <c:crossBetween val="midCat"/>
      </c:valAx>
      <c:valAx>
        <c:axId val="4732500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Solution Error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55188830562846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4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Gaussian eta_C plot,</a:t>
            </a:r>
            <a:r>
              <a:rPr lang="en-GB" baseline="0"/>
              <a:t> eps=0.05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'eps0.05_peddle'!$B$4</c:f>
              <c:strCache>
                <c:ptCount val="1"/>
                <c:pt idx="0">
                  <c:v>Δt=0.1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'eps0.05_peddle'!$C$4:$AE$4</c:f>
              <c:numCache>
                <c:formatCode>0.00E+00</c:formatCode>
                <c:ptCount val="29"/>
                <c:pt idx="0">
                  <c:v>4.0651866681720801</c:v>
                </c:pt>
                <c:pt idx="1">
                  <c:v>3.5763620280301698</c:v>
                </c:pt>
                <c:pt idx="2">
                  <c:v>2.86532132425685</c:v>
                </c:pt>
                <c:pt idx="3">
                  <c:v>2.05481619057689</c:v>
                </c:pt>
                <c:pt idx="4">
                  <c:v>1.2587748490649999</c:v>
                </c:pt>
                <c:pt idx="5">
                  <c:v>0.57116693768668103</c:v>
                </c:pt>
                <c:pt idx="6">
                  <c:v>0.13209789944995201</c:v>
                </c:pt>
                <c:pt idx="7">
                  <c:v>0.29930016674903398</c:v>
                </c:pt>
                <c:pt idx="8">
                  <c:v>0.42202969394522999</c:v>
                </c:pt>
                <c:pt idx="9">
                  <c:v>0.38955060341028902</c:v>
                </c:pt>
                <c:pt idx="10">
                  <c:v>0.263317183960533</c:v>
                </c:pt>
                <c:pt idx="11">
                  <c:v>0.11499660066489301</c:v>
                </c:pt>
                <c:pt idx="12">
                  <c:v>6.1874048619420002E-2</c:v>
                </c:pt>
                <c:pt idx="13">
                  <c:v>0.113474430344656</c:v>
                </c:pt>
                <c:pt idx="14">
                  <c:v>0.12685367631309499</c:v>
                </c:pt>
                <c:pt idx="15">
                  <c:v>9.4273407831899497E-2</c:v>
                </c:pt>
                <c:pt idx="16">
                  <c:v>4.2870759584123598E-2</c:v>
                </c:pt>
                <c:pt idx="17">
                  <c:v>5.2423417340601797E-2</c:v>
                </c:pt>
                <c:pt idx="18">
                  <c:v>8.8849901655733199E-2</c:v>
                </c:pt>
                <c:pt idx="19">
                  <c:v>0.101740683136851</c:v>
                </c:pt>
                <c:pt idx="20">
                  <c:v>8.9668757167722907E-2</c:v>
                </c:pt>
                <c:pt idx="21">
                  <c:v>6.3246253237789707E-2</c:v>
                </c:pt>
                <c:pt idx="22">
                  <c:v>3.9843934508113202E-2</c:v>
                </c:pt>
                <c:pt idx="23">
                  <c:v>3.7390713541898601E-2</c:v>
                </c:pt>
                <c:pt idx="24">
                  <c:v>4.1935893425834501E-2</c:v>
                </c:pt>
                <c:pt idx="25">
                  <c:v>4.0241877018071803E-2</c:v>
                </c:pt>
                <c:pt idx="26">
                  <c:v>3.6980514670220503E-2</c:v>
                </c:pt>
                <c:pt idx="27">
                  <c:v>4.2112944450798398E-2</c:v>
                </c:pt>
                <c:pt idx="28">
                  <c:v>5.1936252718024302E-2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65-49D6-9684-259470E12F2B}"/>
            </c:ext>
          </c:extLst>
        </c:ser>
        <c:ser>
          <c:idx val="2"/>
          <c:order val="2"/>
          <c:tx>
            <c:strRef>
              <c:f>'eps0.05_peddle'!$B$6</c:f>
              <c:strCache>
                <c:ptCount val="1"/>
                <c:pt idx="0">
                  <c:v>Δt=0.2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'eps0.05_peddle'!$C$6:$AE$6</c:f>
              <c:numCache>
                <c:formatCode>0.00E+00</c:formatCode>
                <c:ptCount val="29"/>
                <c:pt idx="0">
                  <c:v>1.5048528675820001</c:v>
                </c:pt>
                <c:pt idx="1">
                  <c:v>1.3306272834598101</c:v>
                </c:pt>
                <c:pt idx="2">
                  <c:v>1.0727239026114901</c:v>
                </c:pt>
                <c:pt idx="3">
                  <c:v>0.77095315564070499</c:v>
                </c:pt>
                <c:pt idx="4">
                  <c:v>0.46875644105631697</c:v>
                </c:pt>
                <c:pt idx="5">
                  <c:v>0.205660960156898</c:v>
                </c:pt>
                <c:pt idx="6">
                  <c:v>3.1221416696792299E-2</c:v>
                </c:pt>
                <c:pt idx="7">
                  <c:v>0.124036128575397</c:v>
                </c:pt>
                <c:pt idx="8">
                  <c:v>0.16964590528978701</c:v>
                </c:pt>
                <c:pt idx="9">
                  <c:v>0.157524408473356</c:v>
                </c:pt>
                <c:pt idx="10">
                  <c:v>0.111037372143692</c:v>
                </c:pt>
                <c:pt idx="11">
                  <c:v>5.7400422472365403E-2</c:v>
                </c:pt>
                <c:pt idx="12">
                  <c:v>3.4014450251652999E-2</c:v>
                </c:pt>
                <c:pt idx="13">
                  <c:v>4.84107150571043E-2</c:v>
                </c:pt>
                <c:pt idx="14">
                  <c:v>5.3151064018003499E-2</c:v>
                </c:pt>
                <c:pt idx="15">
                  <c:v>4.4346271374759903E-2</c:v>
                </c:pt>
                <c:pt idx="16">
                  <c:v>3.5319146215256399E-2</c:v>
                </c:pt>
                <c:pt idx="17">
                  <c:v>3.9622706266641203E-2</c:v>
                </c:pt>
                <c:pt idx="18">
                  <c:v>4.9998294311749798E-2</c:v>
                </c:pt>
                <c:pt idx="19">
                  <c:v>5.4237413369956501E-2</c:v>
                </c:pt>
                <c:pt idx="20">
                  <c:v>5.0845312906740402E-2</c:v>
                </c:pt>
                <c:pt idx="21">
                  <c:v>4.3259836942817702E-2</c:v>
                </c:pt>
                <c:pt idx="22">
                  <c:v>3.6666933757562803E-2</c:v>
                </c:pt>
                <c:pt idx="23">
                  <c:v>3.4288327433909402E-2</c:v>
                </c:pt>
                <c:pt idx="24">
                  <c:v>3.4019947055398202E-2</c:v>
                </c:pt>
                <c:pt idx="25">
                  <c:v>3.40357790775749E-2</c:v>
                </c:pt>
                <c:pt idx="26">
                  <c:v>3.4771830281760098E-2</c:v>
                </c:pt>
                <c:pt idx="27">
                  <c:v>3.7021648345423298E-2</c:v>
                </c:pt>
                <c:pt idx="28">
                  <c:v>3.9796296375923801E-2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65-49D6-9684-259470E12F2B}"/>
            </c:ext>
          </c:extLst>
        </c:ser>
        <c:ser>
          <c:idx val="4"/>
          <c:order val="4"/>
          <c:tx>
            <c:strRef>
              <c:f>'eps0.05_peddle'!$B$8</c:f>
              <c:strCache>
                <c:ptCount val="1"/>
                <c:pt idx="0">
                  <c:v>Δt=0.3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'eps0.05_peddle'!$C$8:$AE$8</c:f>
              <c:numCache>
                <c:formatCode>0.00E+00</c:formatCode>
                <c:ptCount val="29"/>
                <c:pt idx="0">
                  <c:v>0.48982981968919198</c:v>
                </c:pt>
                <c:pt idx="1">
                  <c:v>0.43411503585894801</c:v>
                </c:pt>
                <c:pt idx="2">
                  <c:v>0.35434554564526199</c:v>
                </c:pt>
                <c:pt idx="3">
                  <c:v>0.26390202089674802</c:v>
                </c:pt>
                <c:pt idx="4">
                  <c:v>0.17753183780860299</c:v>
                </c:pt>
                <c:pt idx="5">
                  <c:v>0.11230643385318299</c:v>
                </c:pt>
                <c:pt idx="6">
                  <c:v>8.5041843503328607E-2</c:v>
                </c:pt>
                <c:pt idx="7">
                  <c:v>9.13693449251331E-2</c:v>
                </c:pt>
                <c:pt idx="8">
                  <c:v>9.8008154610133402E-2</c:v>
                </c:pt>
                <c:pt idx="9">
                  <c:v>9.56984604322247E-2</c:v>
                </c:pt>
                <c:pt idx="10">
                  <c:v>8.9365487017222495E-2</c:v>
                </c:pt>
                <c:pt idx="11">
                  <c:v>8.5453435753460497E-2</c:v>
                </c:pt>
                <c:pt idx="12">
                  <c:v>8.5861245224451099E-2</c:v>
                </c:pt>
                <c:pt idx="13">
                  <c:v>8.7650871770169295E-2</c:v>
                </c:pt>
                <c:pt idx="14">
                  <c:v>8.8139726585807807E-2</c:v>
                </c:pt>
                <c:pt idx="15">
                  <c:v>8.7136764086237398E-2</c:v>
                </c:pt>
                <c:pt idx="16">
                  <c:v>8.5880781066141207E-2</c:v>
                </c:pt>
                <c:pt idx="17">
                  <c:v>8.5257957022547098E-2</c:v>
                </c:pt>
                <c:pt idx="18">
                  <c:v>8.5264315367046706E-2</c:v>
                </c:pt>
                <c:pt idx="19">
                  <c:v>8.5309947002647102E-2</c:v>
                </c:pt>
                <c:pt idx="20">
                  <c:v>8.5145427395812795E-2</c:v>
                </c:pt>
                <c:pt idx="21">
                  <c:v>8.4984382055153199E-2</c:v>
                </c:pt>
                <c:pt idx="22">
                  <c:v>8.5015660370080501E-2</c:v>
                </c:pt>
                <c:pt idx="23">
                  <c:v>8.5178800108016803E-2</c:v>
                </c:pt>
                <c:pt idx="24">
                  <c:v>8.5285990608045203E-2</c:v>
                </c:pt>
                <c:pt idx="25">
                  <c:v>8.5235127289411905E-2</c:v>
                </c:pt>
                <c:pt idx="26">
                  <c:v>8.5104612553762601E-2</c:v>
                </c:pt>
                <c:pt idx="27">
                  <c:v>8.4987848541942398E-2</c:v>
                </c:pt>
                <c:pt idx="28">
                  <c:v>8.4952190484172796E-2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65-49D6-9684-259470E1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240832"/>
        <c:axId val="47325001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'eps0.05_peddle'!$B$5</c15:sqref>
                        </c15:formulaRef>
                      </c:ext>
                    </c:extLst>
                    <c:strCache>
                      <c:ptCount val="1"/>
                      <c:pt idx="0">
                        <c:v>Δt=0.15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'eps0.05_peddle'!$C$2:$AE$2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0.05</c:v>
                      </c:pt>
                      <c:pt idx="1">
                        <c:v>0.1</c:v>
                      </c:pt>
                      <c:pt idx="2">
                        <c:v>0.15</c:v>
                      </c:pt>
                      <c:pt idx="3">
                        <c:v>0.2</c:v>
                      </c:pt>
                      <c:pt idx="4">
                        <c:v>0.25</c:v>
                      </c:pt>
                      <c:pt idx="5">
                        <c:v>0.3</c:v>
                      </c:pt>
                      <c:pt idx="6">
                        <c:v>0.35</c:v>
                      </c:pt>
                      <c:pt idx="7">
                        <c:v>0.4</c:v>
                      </c:pt>
                      <c:pt idx="8">
                        <c:v>0.45</c:v>
                      </c:pt>
                      <c:pt idx="9">
                        <c:v>0.5</c:v>
                      </c:pt>
                      <c:pt idx="10">
                        <c:v>0.55000000000000004</c:v>
                      </c:pt>
                      <c:pt idx="11">
                        <c:v>0.6</c:v>
                      </c:pt>
                      <c:pt idx="12">
                        <c:v>0.65</c:v>
                      </c:pt>
                      <c:pt idx="13">
                        <c:v>0.7</c:v>
                      </c:pt>
                      <c:pt idx="14">
                        <c:v>0.75</c:v>
                      </c:pt>
                      <c:pt idx="15">
                        <c:v>0.8</c:v>
                      </c:pt>
                      <c:pt idx="16">
                        <c:v>0.85</c:v>
                      </c:pt>
                      <c:pt idx="17">
                        <c:v>0.9</c:v>
                      </c:pt>
                      <c:pt idx="18">
                        <c:v>0.95</c:v>
                      </c:pt>
                      <c:pt idx="19">
                        <c:v>1</c:v>
                      </c:pt>
                      <c:pt idx="20">
                        <c:v>1.05</c:v>
                      </c:pt>
                      <c:pt idx="21">
                        <c:v>1.1000000000000001</c:v>
                      </c:pt>
                      <c:pt idx="22">
                        <c:v>1.1499999999999999</c:v>
                      </c:pt>
                      <c:pt idx="23">
                        <c:v>1.2</c:v>
                      </c:pt>
                      <c:pt idx="24">
                        <c:v>1.25</c:v>
                      </c:pt>
                      <c:pt idx="25">
                        <c:v>1.3</c:v>
                      </c:pt>
                      <c:pt idx="26">
                        <c:v>1.35</c:v>
                      </c:pt>
                      <c:pt idx="27">
                        <c:v>1.4</c:v>
                      </c:pt>
                      <c:pt idx="28">
                        <c:v>1.45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'eps0.05_peddle'!$C$5:$AE$5</c15:sqref>
                        </c15:formulaRef>
                      </c:ext>
                    </c:extLst>
                    <c:numCache>
                      <c:formatCode>0.00E+00</c:formatCode>
                      <c:ptCount val="29"/>
                      <c:pt idx="0">
                        <c:v>1.9941101460794799</c:v>
                      </c:pt>
                      <c:pt idx="1">
                        <c:v>1.7640400634785001</c:v>
                      </c:pt>
                      <c:pt idx="2">
                        <c:v>1.4224182938054299</c:v>
                      </c:pt>
                      <c:pt idx="3">
                        <c:v>1.0215849345222401</c:v>
                      </c:pt>
                      <c:pt idx="4">
                        <c:v>0.62009249011629397</c:v>
                      </c:pt>
                      <c:pt idx="5">
                        <c:v>0.27243603876489902</c:v>
                      </c:pt>
                      <c:pt idx="6">
                        <c:v>6.02694983075205E-2</c:v>
                      </c:pt>
                      <c:pt idx="7">
                        <c:v>0.181239732285286</c:v>
                      </c:pt>
                      <c:pt idx="8">
                        <c:v>0.24007473992417</c:v>
                      </c:pt>
                      <c:pt idx="9">
                        <c:v>0.224234829347735</c:v>
                      </c:pt>
                      <c:pt idx="10">
                        <c:v>0.16413667741943799</c:v>
                      </c:pt>
                      <c:pt idx="11">
                        <c:v>9.5683657601666E-2</c:v>
                      </c:pt>
                      <c:pt idx="12">
                        <c:v>6.0236421418933303E-2</c:v>
                      </c:pt>
                      <c:pt idx="13">
                        <c:v>7.3261267646100803E-2</c:v>
                      </c:pt>
                      <c:pt idx="14">
                        <c:v>7.8346452842229505E-2</c:v>
                      </c:pt>
                      <c:pt idx="15">
                        <c:v>6.7960823954645005E-2</c:v>
                      </c:pt>
                      <c:pt idx="16">
                        <c:v>6.0139717858670901E-2</c:v>
                      </c:pt>
                      <c:pt idx="17">
                        <c:v>7.1228369172165698E-2</c:v>
                      </c:pt>
                      <c:pt idx="18">
                        <c:v>8.5636541257673296E-2</c:v>
                      </c:pt>
                      <c:pt idx="19">
                        <c:v>9.1212872248199503E-2</c:v>
                      </c:pt>
                      <c:pt idx="20">
                        <c:v>8.6615564044957793E-2</c:v>
                      </c:pt>
                      <c:pt idx="21">
                        <c:v>7.6339476172607001E-2</c:v>
                      </c:pt>
                      <c:pt idx="22">
                        <c:v>6.6769864309298696E-2</c:v>
                      </c:pt>
                      <c:pt idx="23">
                        <c:v>6.1866093681042802E-2</c:v>
                      </c:pt>
                      <c:pt idx="24">
                        <c:v>6.0609925972953498E-2</c:v>
                      </c:pt>
                      <c:pt idx="25">
                        <c:v>6.10906415101845E-2</c:v>
                      </c:pt>
                      <c:pt idx="26">
                        <c:v>6.3378116258112502E-2</c:v>
                      </c:pt>
                      <c:pt idx="27">
                        <c:v>6.74794117882202E-2</c:v>
                      </c:pt>
                      <c:pt idx="28">
                        <c:v>7.1632566288030594E-2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E565-49D6-9684-259470E12F2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'eps0.05_peddle'!$B$7</c15:sqref>
                        </c15:formulaRef>
                      </c:ext>
                    </c:extLst>
                    <c:strCache>
                      <c:ptCount val="1"/>
                      <c:pt idx="0">
                        <c:v>Δt=0.25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'eps0.05_peddle'!$C$2:$AE$2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0.05</c:v>
                      </c:pt>
                      <c:pt idx="1">
                        <c:v>0.1</c:v>
                      </c:pt>
                      <c:pt idx="2">
                        <c:v>0.15</c:v>
                      </c:pt>
                      <c:pt idx="3">
                        <c:v>0.2</c:v>
                      </c:pt>
                      <c:pt idx="4">
                        <c:v>0.25</c:v>
                      </c:pt>
                      <c:pt idx="5">
                        <c:v>0.3</c:v>
                      </c:pt>
                      <c:pt idx="6">
                        <c:v>0.35</c:v>
                      </c:pt>
                      <c:pt idx="7">
                        <c:v>0.4</c:v>
                      </c:pt>
                      <c:pt idx="8">
                        <c:v>0.45</c:v>
                      </c:pt>
                      <c:pt idx="9">
                        <c:v>0.5</c:v>
                      </c:pt>
                      <c:pt idx="10">
                        <c:v>0.55000000000000004</c:v>
                      </c:pt>
                      <c:pt idx="11">
                        <c:v>0.6</c:v>
                      </c:pt>
                      <c:pt idx="12">
                        <c:v>0.65</c:v>
                      </c:pt>
                      <c:pt idx="13">
                        <c:v>0.7</c:v>
                      </c:pt>
                      <c:pt idx="14">
                        <c:v>0.75</c:v>
                      </c:pt>
                      <c:pt idx="15">
                        <c:v>0.8</c:v>
                      </c:pt>
                      <c:pt idx="16">
                        <c:v>0.85</c:v>
                      </c:pt>
                      <c:pt idx="17">
                        <c:v>0.9</c:v>
                      </c:pt>
                      <c:pt idx="18">
                        <c:v>0.95</c:v>
                      </c:pt>
                      <c:pt idx="19">
                        <c:v>1</c:v>
                      </c:pt>
                      <c:pt idx="20">
                        <c:v>1.05</c:v>
                      </c:pt>
                      <c:pt idx="21">
                        <c:v>1.1000000000000001</c:v>
                      </c:pt>
                      <c:pt idx="22">
                        <c:v>1.1499999999999999</c:v>
                      </c:pt>
                      <c:pt idx="23">
                        <c:v>1.2</c:v>
                      </c:pt>
                      <c:pt idx="24">
                        <c:v>1.25</c:v>
                      </c:pt>
                      <c:pt idx="25">
                        <c:v>1.3</c:v>
                      </c:pt>
                      <c:pt idx="26">
                        <c:v>1.35</c:v>
                      </c:pt>
                      <c:pt idx="27">
                        <c:v>1.4</c:v>
                      </c:pt>
                      <c:pt idx="28">
                        <c:v>1.45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'eps0.05_peddle'!$C$7:$AE$7</c15:sqref>
                        </c15:formulaRef>
                      </c:ext>
                    </c:extLst>
                    <c:numCache>
                      <c:formatCode>0.00E+00</c:formatCode>
                      <c:ptCount val="29"/>
                      <c:pt idx="0">
                        <c:v>0.27831776701812</c:v>
                      </c:pt>
                      <c:pt idx="1">
                        <c:v>0.25294015466572001</c:v>
                      </c:pt>
                      <c:pt idx="2">
                        <c:v>0.215407361332911</c:v>
                      </c:pt>
                      <c:pt idx="3">
                        <c:v>0.171973518266264</c:v>
                      </c:pt>
                      <c:pt idx="4">
                        <c:v>0.13097892264674399</c:v>
                      </c:pt>
                      <c:pt idx="5">
                        <c:v>0.100992820852791</c:v>
                      </c:pt>
                      <c:pt idx="6">
                        <c:v>8.68962226543048E-2</c:v>
                      </c:pt>
                      <c:pt idx="7">
                        <c:v>8.5134289076507802E-2</c:v>
                      </c:pt>
                      <c:pt idx="8">
                        <c:v>8.6146727873904996E-2</c:v>
                      </c:pt>
                      <c:pt idx="9">
                        <c:v>8.5882698277654698E-2</c:v>
                      </c:pt>
                      <c:pt idx="10">
                        <c:v>8.5596385631149394E-2</c:v>
                      </c:pt>
                      <c:pt idx="11">
                        <c:v>8.6650308539345994E-2</c:v>
                      </c:pt>
                      <c:pt idx="12">
                        <c:v>8.8454586845531702E-2</c:v>
                      </c:pt>
                      <c:pt idx="13">
                        <c:v>8.9847327817302494E-2</c:v>
                      </c:pt>
                      <c:pt idx="14">
                        <c:v>9.0145861976615602E-2</c:v>
                      </c:pt>
                      <c:pt idx="15">
                        <c:v>8.9519030804551897E-2</c:v>
                      </c:pt>
                      <c:pt idx="16">
                        <c:v>8.8527819864069296E-2</c:v>
                      </c:pt>
                      <c:pt idx="17">
                        <c:v>8.7666445070637006E-2</c:v>
                      </c:pt>
                      <c:pt idx="18">
                        <c:v>8.7098918738616304E-2</c:v>
                      </c:pt>
                      <c:pt idx="19">
                        <c:v>8.6840677260033597E-2</c:v>
                      </c:pt>
                      <c:pt idx="20">
                        <c:v>8.6848104253277394E-2</c:v>
                      </c:pt>
                      <c:pt idx="21">
                        <c:v>8.7063599707232903E-2</c:v>
                      </c:pt>
                      <c:pt idx="22">
                        <c:v>8.7387705364947693E-2</c:v>
                      </c:pt>
                      <c:pt idx="23">
                        <c:v>8.7676643030096396E-2</c:v>
                      </c:pt>
                      <c:pt idx="24">
                        <c:v>8.7808655582647804E-2</c:v>
                      </c:pt>
                      <c:pt idx="25">
                        <c:v>8.7748129199676506E-2</c:v>
                      </c:pt>
                      <c:pt idx="26">
                        <c:v>8.7558644819935694E-2</c:v>
                      </c:pt>
                      <c:pt idx="27">
                        <c:v>8.7345272041694497E-2</c:v>
                      </c:pt>
                      <c:pt idx="28">
                        <c:v>8.7199266668255601E-2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565-49D6-9684-259470E12F2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'eps0.05_peddle'!$B$9</c15:sqref>
                        </c15:formulaRef>
                      </c:ext>
                    </c:extLst>
                    <c:strCache>
                      <c:ptCount val="1"/>
                      <c:pt idx="0">
                        <c:v>Δt=0.35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'eps0.05_peddle'!$C$2:$AE$2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0.05</c:v>
                      </c:pt>
                      <c:pt idx="1">
                        <c:v>0.1</c:v>
                      </c:pt>
                      <c:pt idx="2">
                        <c:v>0.15</c:v>
                      </c:pt>
                      <c:pt idx="3">
                        <c:v>0.2</c:v>
                      </c:pt>
                      <c:pt idx="4">
                        <c:v>0.25</c:v>
                      </c:pt>
                      <c:pt idx="5">
                        <c:v>0.3</c:v>
                      </c:pt>
                      <c:pt idx="6">
                        <c:v>0.35</c:v>
                      </c:pt>
                      <c:pt idx="7">
                        <c:v>0.4</c:v>
                      </c:pt>
                      <c:pt idx="8">
                        <c:v>0.45</c:v>
                      </c:pt>
                      <c:pt idx="9">
                        <c:v>0.5</c:v>
                      </c:pt>
                      <c:pt idx="10">
                        <c:v>0.55000000000000004</c:v>
                      </c:pt>
                      <c:pt idx="11">
                        <c:v>0.6</c:v>
                      </c:pt>
                      <c:pt idx="12">
                        <c:v>0.65</c:v>
                      </c:pt>
                      <c:pt idx="13">
                        <c:v>0.7</c:v>
                      </c:pt>
                      <c:pt idx="14">
                        <c:v>0.75</c:v>
                      </c:pt>
                      <c:pt idx="15">
                        <c:v>0.8</c:v>
                      </c:pt>
                      <c:pt idx="16">
                        <c:v>0.85</c:v>
                      </c:pt>
                      <c:pt idx="17">
                        <c:v>0.9</c:v>
                      </c:pt>
                      <c:pt idx="18">
                        <c:v>0.95</c:v>
                      </c:pt>
                      <c:pt idx="19">
                        <c:v>1</c:v>
                      </c:pt>
                      <c:pt idx="20">
                        <c:v>1.05</c:v>
                      </c:pt>
                      <c:pt idx="21">
                        <c:v>1.1000000000000001</c:v>
                      </c:pt>
                      <c:pt idx="22">
                        <c:v>1.1499999999999999</c:v>
                      </c:pt>
                      <c:pt idx="23">
                        <c:v>1.2</c:v>
                      </c:pt>
                      <c:pt idx="24">
                        <c:v>1.25</c:v>
                      </c:pt>
                      <c:pt idx="25">
                        <c:v>1.3</c:v>
                      </c:pt>
                      <c:pt idx="26">
                        <c:v>1.35</c:v>
                      </c:pt>
                      <c:pt idx="27">
                        <c:v>1.4</c:v>
                      </c:pt>
                      <c:pt idx="28">
                        <c:v>1.45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'eps0.05_peddle'!$C$9:$AE$9</c15:sqref>
                        </c15:formulaRef>
                      </c:ext>
                    </c:extLst>
                    <c:numCache>
                      <c:formatCode>0.00E+00</c:formatCode>
                      <c:ptCount val="29"/>
                      <c:pt idx="0">
                        <c:v>0.46256257169713499</c:v>
                      </c:pt>
                      <c:pt idx="1">
                        <c:v>0.40823099231692</c:v>
                      </c:pt>
                      <c:pt idx="2">
                        <c:v>0.33171593343762601</c:v>
                      </c:pt>
                      <c:pt idx="3">
                        <c:v>0.24578006675952599</c:v>
                      </c:pt>
                      <c:pt idx="4">
                        <c:v>0.16564947006710101</c:v>
                      </c:pt>
                      <c:pt idx="5">
                        <c:v>0.107904526291945</c:v>
                      </c:pt>
                      <c:pt idx="6">
                        <c:v>8.6099097147462306E-2</c:v>
                      </c:pt>
                      <c:pt idx="7">
                        <c:v>9.2672533613795197E-2</c:v>
                      </c:pt>
                      <c:pt idx="8">
                        <c:v>9.8043066022696093E-2</c:v>
                      </c:pt>
                      <c:pt idx="9">
                        <c:v>9.5973257632801706E-2</c:v>
                      </c:pt>
                      <c:pt idx="10">
                        <c:v>9.04261509476149E-2</c:v>
                      </c:pt>
                      <c:pt idx="11">
                        <c:v>8.64815353957578E-2</c:v>
                      </c:pt>
                      <c:pt idx="12">
                        <c:v>8.5818309306578106E-2</c:v>
                      </c:pt>
                      <c:pt idx="13">
                        <c:v>8.6605594720606804E-2</c:v>
                      </c:pt>
                      <c:pt idx="14">
                        <c:v>8.6771844895660505E-2</c:v>
                      </c:pt>
                      <c:pt idx="15">
                        <c:v>8.6081039028725007E-2</c:v>
                      </c:pt>
                      <c:pt idx="16">
                        <c:v>8.5509522509213495E-2</c:v>
                      </c:pt>
                      <c:pt idx="17">
                        <c:v>8.5570020987361994E-2</c:v>
                      </c:pt>
                      <c:pt idx="18">
                        <c:v>8.59532982318926E-2</c:v>
                      </c:pt>
                      <c:pt idx="19">
                        <c:v>8.6075603266067599E-2</c:v>
                      </c:pt>
                      <c:pt idx="20">
                        <c:v>8.5813181626934798E-2</c:v>
                      </c:pt>
                      <c:pt idx="21">
                        <c:v>8.5427527752765298E-2</c:v>
                      </c:pt>
                      <c:pt idx="22">
                        <c:v>8.5207766622695399E-2</c:v>
                      </c:pt>
                      <c:pt idx="23">
                        <c:v>8.5196219424635997E-2</c:v>
                      </c:pt>
                      <c:pt idx="24">
                        <c:v>8.5232201657387194E-2</c:v>
                      </c:pt>
                      <c:pt idx="25">
                        <c:v>8.5223263104289196E-2</c:v>
                      </c:pt>
                      <c:pt idx="26">
                        <c:v>8.5203370796806205E-2</c:v>
                      </c:pt>
                      <c:pt idx="27">
                        <c:v>8.5218165643586294E-2</c:v>
                      </c:pt>
                      <c:pt idx="28">
                        <c:v>8.5291757496991999E-2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565-49D6-9684-259470E12F2B}"/>
                  </c:ext>
                </c:extLst>
              </c15:ser>
            </c15:filteredScatterSeries>
          </c:ext>
        </c:extLst>
      </c:scatterChart>
      <c:valAx>
        <c:axId val="47324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eta_C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50016"/>
        <c:crossesAt val="1.0000000000000002E-3"/>
        <c:crossBetween val="midCat"/>
      </c:valAx>
      <c:valAx>
        <c:axId val="4732500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Solution Error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55188830562846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4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Gaussian </a:t>
            </a:r>
            <a:r>
              <a:rPr lang="en-GB" sz="1400" b="0" i="0" u="none" strike="noStrike" baseline="0">
                <a:effectLst/>
              </a:rPr>
              <a:t>𝜂 </a:t>
            </a:r>
            <a:r>
              <a:rPr lang="en-GB"/>
              <a:t>plot,</a:t>
            </a:r>
            <a:r>
              <a:rPr lang="en-GB" baseline="0"/>
              <a:t> </a:t>
            </a:r>
            <a:r>
              <a:rPr lang="en-GB" sz="1800" b="0" i="0">
                <a:effectLst/>
              </a:rPr>
              <a:t>𝜖</a:t>
            </a:r>
            <a:r>
              <a:rPr lang="en-GB" sz="1400" b="0" i="0" baseline="0">
                <a:effectLst/>
              </a:rPr>
              <a:t> </a:t>
            </a:r>
            <a:r>
              <a:rPr lang="en-GB" baseline="0"/>
              <a:t>= 0.05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8177559055118112"/>
          <c:y val="0.17171296296296296"/>
          <c:w val="0.77184951881014874"/>
          <c:h val="0.538013998250218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'eps0.05_peddle'!$B$4</c:f>
              <c:strCache>
                <c:ptCount val="1"/>
                <c:pt idx="0">
                  <c:v>Δt=0.1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'eps0.05_peddle'!$C$4:$AE$4</c:f>
              <c:numCache>
                <c:formatCode>0.00E+00</c:formatCode>
                <c:ptCount val="29"/>
                <c:pt idx="0">
                  <c:v>4.0651866681720801</c:v>
                </c:pt>
                <c:pt idx="1">
                  <c:v>3.5763620280301698</c:v>
                </c:pt>
                <c:pt idx="2">
                  <c:v>2.86532132425685</c:v>
                </c:pt>
                <c:pt idx="3">
                  <c:v>2.05481619057689</c:v>
                </c:pt>
                <c:pt idx="4">
                  <c:v>1.2587748490649999</c:v>
                </c:pt>
                <c:pt idx="5">
                  <c:v>0.57116693768668103</c:v>
                </c:pt>
                <c:pt idx="6">
                  <c:v>0.13209789944995201</c:v>
                </c:pt>
                <c:pt idx="7">
                  <c:v>0.29930016674903398</c:v>
                </c:pt>
                <c:pt idx="8">
                  <c:v>0.42202969394522999</c:v>
                </c:pt>
                <c:pt idx="9">
                  <c:v>0.38955060341028902</c:v>
                </c:pt>
                <c:pt idx="10">
                  <c:v>0.263317183960533</c:v>
                </c:pt>
                <c:pt idx="11">
                  <c:v>0.11499660066489301</c:v>
                </c:pt>
                <c:pt idx="12">
                  <c:v>6.1874048619420002E-2</c:v>
                </c:pt>
                <c:pt idx="13">
                  <c:v>0.113474430344656</c:v>
                </c:pt>
                <c:pt idx="14">
                  <c:v>0.12685367631309499</c:v>
                </c:pt>
                <c:pt idx="15">
                  <c:v>9.4273407831899497E-2</c:v>
                </c:pt>
                <c:pt idx="16">
                  <c:v>4.2870759584123598E-2</c:v>
                </c:pt>
                <c:pt idx="17">
                  <c:v>5.2423417340601797E-2</c:v>
                </c:pt>
                <c:pt idx="18">
                  <c:v>8.8849901655733199E-2</c:v>
                </c:pt>
                <c:pt idx="19">
                  <c:v>0.101740683136851</c:v>
                </c:pt>
                <c:pt idx="20">
                  <c:v>8.9668757167722907E-2</c:v>
                </c:pt>
                <c:pt idx="21">
                  <c:v>6.3246253237789707E-2</c:v>
                </c:pt>
                <c:pt idx="22">
                  <c:v>3.9843934508113202E-2</c:v>
                </c:pt>
                <c:pt idx="23">
                  <c:v>3.7390713541898601E-2</c:v>
                </c:pt>
                <c:pt idx="24">
                  <c:v>4.1935893425834501E-2</c:v>
                </c:pt>
                <c:pt idx="25">
                  <c:v>4.0241877018071803E-2</c:v>
                </c:pt>
                <c:pt idx="26">
                  <c:v>3.6980514670220503E-2</c:v>
                </c:pt>
                <c:pt idx="27">
                  <c:v>4.2112944450798398E-2</c:v>
                </c:pt>
                <c:pt idx="28">
                  <c:v>5.1936252718024302E-2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71-4E79-A131-C0223811756F}"/>
            </c:ext>
          </c:extLst>
        </c:ser>
        <c:ser>
          <c:idx val="1"/>
          <c:order val="1"/>
          <c:tx>
            <c:strRef>
              <c:f>'eps0.05_peddle'!$B$5</c:f>
              <c:strCache>
                <c:ptCount val="1"/>
                <c:pt idx="0">
                  <c:v>Δt=0.15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'eps0.05_peddle'!$C$5:$AE$5</c:f>
              <c:numCache>
                <c:formatCode>0.00E+00</c:formatCode>
                <c:ptCount val="29"/>
                <c:pt idx="0">
                  <c:v>1.9941101460794799</c:v>
                </c:pt>
                <c:pt idx="1">
                  <c:v>1.7640400634785001</c:v>
                </c:pt>
                <c:pt idx="2">
                  <c:v>1.4224182938054299</c:v>
                </c:pt>
                <c:pt idx="3">
                  <c:v>1.0215849345222401</c:v>
                </c:pt>
                <c:pt idx="4">
                  <c:v>0.62009249011629397</c:v>
                </c:pt>
                <c:pt idx="5">
                  <c:v>0.27243603876489902</c:v>
                </c:pt>
                <c:pt idx="6">
                  <c:v>6.02694983075205E-2</c:v>
                </c:pt>
                <c:pt idx="7">
                  <c:v>0.181239732285286</c:v>
                </c:pt>
                <c:pt idx="8">
                  <c:v>0.24007473992417</c:v>
                </c:pt>
                <c:pt idx="9">
                  <c:v>0.224234829347735</c:v>
                </c:pt>
                <c:pt idx="10">
                  <c:v>0.16413667741943799</c:v>
                </c:pt>
                <c:pt idx="11">
                  <c:v>9.5683657601666E-2</c:v>
                </c:pt>
                <c:pt idx="12">
                  <c:v>6.0236421418933303E-2</c:v>
                </c:pt>
                <c:pt idx="13">
                  <c:v>7.3261267646100803E-2</c:v>
                </c:pt>
                <c:pt idx="14">
                  <c:v>7.8346452842229505E-2</c:v>
                </c:pt>
                <c:pt idx="15">
                  <c:v>6.7960823954645005E-2</c:v>
                </c:pt>
                <c:pt idx="16">
                  <c:v>6.0139717858670901E-2</c:v>
                </c:pt>
                <c:pt idx="17">
                  <c:v>7.1228369172165698E-2</c:v>
                </c:pt>
                <c:pt idx="18">
                  <c:v>8.5636541257673296E-2</c:v>
                </c:pt>
                <c:pt idx="19">
                  <c:v>9.1212872248199503E-2</c:v>
                </c:pt>
                <c:pt idx="20">
                  <c:v>8.6615564044957793E-2</c:v>
                </c:pt>
                <c:pt idx="21">
                  <c:v>7.6339476172607001E-2</c:v>
                </c:pt>
                <c:pt idx="22">
                  <c:v>6.6769864309298696E-2</c:v>
                </c:pt>
                <c:pt idx="23">
                  <c:v>6.1866093681042802E-2</c:v>
                </c:pt>
                <c:pt idx="24">
                  <c:v>6.0609925972953498E-2</c:v>
                </c:pt>
                <c:pt idx="25">
                  <c:v>6.10906415101845E-2</c:v>
                </c:pt>
                <c:pt idx="26">
                  <c:v>6.3378116258112502E-2</c:v>
                </c:pt>
                <c:pt idx="27">
                  <c:v>6.74794117882202E-2</c:v>
                </c:pt>
                <c:pt idx="28">
                  <c:v>7.1632566288030594E-2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71-4E79-A131-C0223811756F}"/>
            </c:ext>
          </c:extLst>
        </c:ser>
        <c:ser>
          <c:idx val="2"/>
          <c:order val="2"/>
          <c:tx>
            <c:strRef>
              <c:f>'eps0.05_peddle'!$B$6</c:f>
              <c:strCache>
                <c:ptCount val="1"/>
                <c:pt idx="0">
                  <c:v>Δt=0.2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'eps0.05_peddle'!$C$6:$AE$6</c:f>
              <c:numCache>
                <c:formatCode>0.00E+00</c:formatCode>
                <c:ptCount val="29"/>
                <c:pt idx="0">
                  <c:v>1.5048528675820001</c:v>
                </c:pt>
                <c:pt idx="1">
                  <c:v>1.3306272834598101</c:v>
                </c:pt>
                <c:pt idx="2">
                  <c:v>1.0727239026114901</c:v>
                </c:pt>
                <c:pt idx="3">
                  <c:v>0.77095315564070499</c:v>
                </c:pt>
                <c:pt idx="4">
                  <c:v>0.46875644105631697</c:v>
                </c:pt>
                <c:pt idx="5">
                  <c:v>0.205660960156898</c:v>
                </c:pt>
                <c:pt idx="6">
                  <c:v>3.1221416696792299E-2</c:v>
                </c:pt>
                <c:pt idx="7">
                  <c:v>0.124036128575397</c:v>
                </c:pt>
                <c:pt idx="8">
                  <c:v>0.16964590528978701</c:v>
                </c:pt>
                <c:pt idx="9">
                  <c:v>0.157524408473356</c:v>
                </c:pt>
                <c:pt idx="10">
                  <c:v>0.111037372143692</c:v>
                </c:pt>
                <c:pt idx="11">
                  <c:v>5.7400422472365403E-2</c:v>
                </c:pt>
                <c:pt idx="12">
                  <c:v>3.4014450251652999E-2</c:v>
                </c:pt>
                <c:pt idx="13">
                  <c:v>4.84107150571043E-2</c:v>
                </c:pt>
                <c:pt idx="14">
                  <c:v>5.3151064018003499E-2</c:v>
                </c:pt>
                <c:pt idx="15">
                  <c:v>4.4346271374759903E-2</c:v>
                </c:pt>
                <c:pt idx="16">
                  <c:v>3.5319146215256399E-2</c:v>
                </c:pt>
                <c:pt idx="17">
                  <c:v>3.9622706266641203E-2</c:v>
                </c:pt>
                <c:pt idx="18">
                  <c:v>4.9998294311749798E-2</c:v>
                </c:pt>
                <c:pt idx="19">
                  <c:v>5.4237413369956501E-2</c:v>
                </c:pt>
                <c:pt idx="20">
                  <c:v>5.0845312906740402E-2</c:v>
                </c:pt>
                <c:pt idx="21">
                  <c:v>4.3259836942817702E-2</c:v>
                </c:pt>
                <c:pt idx="22">
                  <c:v>3.6666933757562803E-2</c:v>
                </c:pt>
                <c:pt idx="23">
                  <c:v>3.4288327433909402E-2</c:v>
                </c:pt>
                <c:pt idx="24">
                  <c:v>3.4019947055398202E-2</c:v>
                </c:pt>
                <c:pt idx="25">
                  <c:v>3.40357790775749E-2</c:v>
                </c:pt>
                <c:pt idx="26">
                  <c:v>3.4771830281760098E-2</c:v>
                </c:pt>
                <c:pt idx="27">
                  <c:v>3.7021648345423298E-2</c:v>
                </c:pt>
                <c:pt idx="28">
                  <c:v>3.9796296375923801E-2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71-4E79-A131-C0223811756F}"/>
            </c:ext>
          </c:extLst>
        </c:ser>
        <c:ser>
          <c:idx val="3"/>
          <c:order val="3"/>
          <c:tx>
            <c:strRef>
              <c:f>'eps0.05_peddle'!$B$7</c:f>
              <c:strCache>
                <c:ptCount val="1"/>
                <c:pt idx="0">
                  <c:v>Δt=0.25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'eps0.05_peddle'!$C$7:$AE$7</c:f>
              <c:numCache>
                <c:formatCode>0.00E+00</c:formatCode>
                <c:ptCount val="29"/>
                <c:pt idx="0">
                  <c:v>0.27831776701812</c:v>
                </c:pt>
                <c:pt idx="1">
                  <c:v>0.25294015466572001</c:v>
                </c:pt>
                <c:pt idx="2">
                  <c:v>0.215407361332911</c:v>
                </c:pt>
                <c:pt idx="3">
                  <c:v>0.171973518266264</c:v>
                </c:pt>
                <c:pt idx="4">
                  <c:v>0.13097892264674399</c:v>
                </c:pt>
                <c:pt idx="5">
                  <c:v>0.100992820852791</c:v>
                </c:pt>
                <c:pt idx="6">
                  <c:v>8.68962226543048E-2</c:v>
                </c:pt>
                <c:pt idx="7">
                  <c:v>8.5134289076507802E-2</c:v>
                </c:pt>
                <c:pt idx="8">
                  <c:v>8.6146727873904996E-2</c:v>
                </c:pt>
                <c:pt idx="9">
                  <c:v>8.5882698277654698E-2</c:v>
                </c:pt>
                <c:pt idx="10">
                  <c:v>8.5596385631149394E-2</c:v>
                </c:pt>
                <c:pt idx="11">
                  <c:v>8.6650308539345994E-2</c:v>
                </c:pt>
                <c:pt idx="12">
                  <c:v>8.8454586845531702E-2</c:v>
                </c:pt>
                <c:pt idx="13">
                  <c:v>8.9847327817302494E-2</c:v>
                </c:pt>
                <c:pt idx="14">
                  <c:v>9.0145861976615602E-2</c:v>
                </c:pt>
                <c:pt idx="15">
                  <c:v>8.9519030804551897E-2</c:v>
                </c:pt>
                <c:pt idx="16">
                  <c:v>8.8527819864069296E-2</c:v>
                </c:pt>
                <c:pt idx="17">
                  <c:v>8.7666445070637006E-2</c:v>
                </c:pt>
                <c:pt idx="18">
                  <c:v>8.7098918738616304E-2</c:v>
                </c:pt>
                <c:pt idx="19">
                  <c:v>8.6840677260033597E-2</c:v>
                </c:pt>
                <c:pt idx="20">
                  <c:v>8.6848104253277394E-2</c:v>
                </c:pt>
                <c:pt idx="21">
                  <c:v>8.7063599707232903E-2</c:v>
                </c:pt>
                <c:pt idx="22">
                  <c:v>8.7387705364947693E-2</c:v>
                </c:pt>
                <c:pt idx="23">
                  <c:v>8.7676643030096396E-2</c:v>
                </c:pt>
                <c:pt idx="24">
                  <c:v>8.7808655582647804E-2</c:v>
                </c:pt>
                <c:pt idx="25">
                  <c:v>8.7748129199676506E-2</c:v>
                </c:pt>
                <c:pt idx="26">
                  <c:v>8.7558644819935694E-2</c:v>
                </c:pt>
                <c:pt idx="27">
                  <c:v>8.7345272041694497E-2</c:v>
                </c:pt>
                <c:pt idx="28">
                  <c:v>8.7199266668255601E-2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71-4E79-A131-C0223811756F}"/>
            </c:ext>
          </c:extLst>
        </c:ser>
        <c:ser>
          <c:idx val="4"/>
          <c:order val="4"/>
          <c:tx>
            <c:strRef>
              <c:f>'eps0.05_peddle'!$B$8</c:f>
              <c:strCache>
                <c:ptCount val="1"/>
                <c:pt idx="0">
                  <c:v>Δt=0.3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'eps0.05_peddle'!$C$2:$AE$2</c:f>
              <c:numCache>
                <c:formatCode>General</c:formatCode>
                <c:ptCount val="2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</c:numCache>
            </c:numRef>
          </c:xVal>
          <c:yVal>
            <c:numRef>
              <c:f>'eps0.05_peddle'!$C$8:$AE$8</c:f>
              <c:numCache>
                <c:formatCode>0.00E+00</c:formatCode>
                <c:ptCount val="29"/>
                <c:pt idx="0">
                  <c:v>0.48982981968919198</c:v>
                </c:pt>
                <c:pt idx="1">
                  <c:v>0.43411503585894801</c:v>
                </c:pt>
                <c:pt idx="2">
                  <c:v>0.35434554564526199</c:v>
                </c:pt>
                <c:pt idx="3">
                  <c:v>0.26390202089674802</c:v>
                </c:pt>
                <c:pt idx="4">
                  <c:v>0.17753183780860299</c:v>
                </c:pt>
                <c:pt idx="5">
                  <c:v>0.11230643385318299</c:v>
                </c:pt>
                <c:pt idx="6">
                  <c:v>8.5041843503328607E-2</c:v>
                </c:pt>
                <c:pt idx="7">
                  <c:v>9.13693449251331E-2</c:v>
                </c:pt>
                <c:pt idx="8">
                  <c:v>9.8008154610133402E-2</c:v>
                </c:pt>
                <c:pt idx="9">
                  <c:v>9.56984604322247E-2</c:v>
                </c:pt>
                <c:pt idx="10">
                  <c:v>8.9365487017222495E-2</c:v>
                </c:pt>
                <c:pt idx="11">
                  <c:v>8.5453435753460497E-2</c:v>
                </c:pt>
                <c:pt idx="12">
                  <c:v>8.5861245224451099E-2</c:v>
                </c:pt>
                <c:pt idx="13">
                  <c:v>8.7650871770169295E-2</c:v>
                </c:pt>
                <c:pt idx="14">
                  <c:v>8.8139726585807807E-2</c:v>
                </c:pt>
                <c:pt idx="15">
                  <c:v>8.7136764086237398E-2</c:v>
                </c:pt>
                <c:pt idx="16">
                  <c:v>8.5880781066141207E-2</c:v>
                </c:pt>
                <c:pt idx="17">
                  <c:v>8.5257957022547098E-2</c:v>
                </c:pt>
                <c:pt idx="18">
                  <c:v>8.5264315367046706E-2</c:v>
                </c:pt>
                <c:pt idx="19">
                  <c:v>8.5309947002647102E-2</c:v>
                </c:pt>
                <c:pt idx="20">
                  <c:v>8.5145427395812795E-2</c:v>
                </c:pt>
                <c:pt idx="21">
                  <c:v>8.4984382055153199E-2</c:v>
                </c:pt>
                <c:pt idx="22">
                  <c:v>8.5015660370080501E-2</c:v>
                </c:pt>
                <c:pt idx="23">
                  <c:v>8.5178800108016803E-2</c:v>
                </c:pt>
                <c:pt idx="24">
                  <c:v>8.5285990608045203E-2</c:v>
                </c:pt>
                <c:pt idx="25">
                  <c:v>8.5235127289411905E-2</c:v>
                </c:pt>
                <c:pt idx="26">
                  <c:v>8.5104612553762601E-2</c:v>
                </c:pt>
                <c:pt idx="27">
                  <c:v>8.4987848541942398E-2</c:v>
                </c:pt>
                <c:pt idx="28">
                  <c:v>8.4952190484172796E-2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071-4E79-A131-C02238117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240832"/>
        <c:axId val="473250016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'eps0.05_peddle'!$B$9</c15:sqref>
                        </c15:formulaRef>
                      </c:ext>
                    </c:extLst>
                    <c:strCache>
                      <c:ptCount val="1"/>
                      <c:pt idx="0">
                        <c:v>Δt=0.35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'eps0.05_peddle'!$C$2:$AE$2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0.05</c:v>
                      </c:pt>
                      <c:pt idx="1">
                        <c:v>0.1</c:v>
                      </c:pt>
                      <c:pt idx="2">
                        <c:v>0.15</c:v>
                      </c:pt>
                      <c:pt idx="3">
                        <c:v>0.2</c:v>
                      </c:pt>
                      <c:pt idx="4">
                        <c:v>0.25</c:v>
                      </c:pt>
                      <c:pt idx="5">
                        <c:v>0.3</c:v>
                      </c:pt>
                      <c:pt idx="6">
                        <c:v>0.35</c:v>
                      </c:pt>
                      <c:pt idx="7">
                        <c:v>0.4</c:v>
                      </c:pt>
                      <c:pt idx="8">
                        <c:v>0.45</c:v>
                      </c:pt>
                      <c:pt idx="9">
                        <c:v>0.5</c:v>
                      </c:pt>
                      <c:pt idx="10">
                        <c:v>0.55000000000000004</c:v>
                      </c:pt>
                      <c:pt idx="11">
                        <c:v>0.6</c:v>
                      </c:pt>
                      <c:pt idx="12">
                        <c:v>0.65</c:v>
                      </c:pt>
                      <c:pt idx="13">
                        <c:v>0.7</c:v>
                      </c:pt>
                      <c:pt idx="14">
                        <c:v>0.75</c:v>
                      </c:pt>
                      <c:pt idx="15">
                        <c:v>0.8</c:v>
                      </c:pt>
                      <c:pt idx="16">
                        <c:v>0.85</c:v>
                      </c:pt>
                      <c:pt idx="17">
                        <c:v>0.9</c:v>
                      </c:pt>
                      <c:pt idx="18">
                        <c:v>0.95</c:v>
                      </c:pt>
                      <c:pt idx="19">
                        <c:v>1</c:v>
                      </c:pt>
                      <c:pt idx="20">
                        <c:v>1.05</c:v>
                      </c:pt>
                      <c:pt idx="21">
                        <c:v>1.1000000000000001</c:v>
                      </c:pt>
                      <c:pt idx="22">
                        <c:v>1.1499999999999999</c:v>
                      </c:pt>
                      <c:pt idx="23">
                        <c:v>1.2</c:v>
                      </c:pt>
                      <c:pt idx="24">
                        <c:v>1.25</c:v>
                      </c:pt>
                      <c:pt idx="25">
                        <c:v>1.3</c:v>
                      </c:pt>
                      <c:pt idx="26">
                        <c:v>1.35</c:v>
                      </c:pt>
                      <c:pt idx="27">
                        <c:v>1.4</c:v>
                      </c:pt>
                      <c:pt idx="28">
                        <c:v>1.45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'eps0.05_peddle'!$C$9:$AE$9</c15:sqref>
                        </c15:formulaRef>
                      </c:ext>
                    </c:extLst>
                    <c:numCache>
                      <c:formatCode>0.00E+00</c:formatCode>
                      <c:ptCount val="29"/>
                      <c:pt idx="0">
                        <c:v>0.46256257169713499</c:v>
                      </c:pt>
                      <c:pt idx="1">
                        <c:v>0.40823099231692</c:v>
                      </c:pt>
                      <c:pt idx="2">
                        <c:v>0.33171593343762601</c:v>
                      </c:pt>
                      <c:pt idx="3">
                        <c:v>0.24578006675952599</c:v>
                      </c:pt>
                      <c:pt idx="4">
                        <c:v>0.16564947006710101</c:v>
                      </c:pt>
                      <c:pt idx="5">
                        <c:v>0.107904526291945</c:v>
                      </c:pt>
                      <c:pt idx="6">
                        <c:v>8.6099097147462306E-2</c:v>
                      </c:pt>
                      <c:pt idx="7">
                        <c:v>9.2672533613795197E-2</c:v>
                      </c:pt>
                      <c:pt idx="8">
                        <c:v>9.8043066022696093E-2</c:v>
                      </c:pt>
                      <c:pt idx="9">
                        <c:v>9.5973257632801706E-2</c:v>
                      </c:pt>
                      <c:pt idx="10">
                        <c:v>9.04261509476149E-2</c:v>
                      </c:pt>
                      <c:pt idx="11">
                        <c:v>8.64815353957578E-2</c:v>
                      </c:pt>
                      <c:pt idx="12">
                        <c:v>8.5818309306578106E-2</c:v>
                      </c:pt>
                      <c:pt idx="13">
                        <c:v>8.6605594720606804E-2</c:v>
                      </c:pt>
                      <c:pt idx="14">
                        <c:v>8.6771844895660505E-2</c:v>
                      </c:pt>
                      <c:pt idx="15">
                        <c:v>8.6081039028725007E-2</c:v>
                      </c:pt>
                      <c:pt idx="16">
                        <c:v>8.5509522509213495E-2</c:v>
                      </c:pt>
                      <c:pt idx="17">
                        <c:v>8.5570020987361994E-2</c:v>
                      </c:pt>
                      <c:pt idx="18">
                        <c:v>8.59532982318926E-2</c:v>
                      </c:pt>
                      <c:pt idx="19">
                        <c:v>8.6075603266067599E-2</c:v>
                      </c:pt>
                      <c:pt idx="20">
                        <c:v>8.5813181626934798E-2</c:v>
                      </c:pt>
                      <c:pt idx="21">
                        <c:v>8.5427527752765298E-2</c:v>
                      </c:pt>
                      <c:pt idx="22">
                        <c:v>8.5207766622695399E-2</c:v>
                      </c:pt>
                      <c:pt idx="23">
                        <c:v>8.5196219424635997E-2</c:v>
                      </c:pt>
                      <c:pt idx="24">
                        <c:v>8.5232201657387194E-2</c:v>
                      </c:pt>
                      <c:pt idx="25">
                        <c:v>8.5223263104289196E-2</c:v>
                      </c:pt>
                      <c:pt idx="26">
                        <c:v>8.5203370796806205E-2</c:v>
                      </c:pt>
                      <c:pt idx="27">
                        <c:v>8.5218165643586294E-2</c:v>
                      </c:pt>
                      <c:pt idx="28">
                        <c:v>8.5291757496991999E-2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9071-4E79-A131-C0223811756F}"/>
                  </c:ext>
                </c:extLst>
              </c15:ser>
            </c15:filteredScatterSeries>
          </c:ext>
        </c:extLst>
      </c:scatterChart>
      <c:valAx>
        <c:axId val="47324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𝜂</a:t>
                </a:r>
                <a:r>
                  <a:rPr lang="en-GB"/>
                  <a:t> </a:t>
                </a:r>
              </a:p>
            </c:rich>
          </c:tx>
          <c:layout>
            <c:manualLayout>
              <c:xMode val="edge"/>
              <c:yMode val="edge"/>
              <c:x val="0.52961001749781278"/>
              <c:y val="0.798607830271216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50016"/>
        <c:crossesAt val="1.0000000000000002E-3"/>
        <c:crossBetween val="midCat"/>
      </c:valAx>
      <c:valAx>
        <c:axId val="4732500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Solution Error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55188830562846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4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Standard phase-averaging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'eps0.01'!$A$3:$A$9</c:f>
              <c:numCache>
                <c:formatCode>General</c:formatCode>
                <c:ptCount val="7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</c:numCache>
            </c:numRef>
          </c:xVal>
          <c:yVal>
            <c:numRef>
              <c:f>'eps0.01'!$C$3:$C$9</c:f>
              <c:numCache>
                <c:formatCode>General</c:formatCode>
                <c:ptCount val="7"/>
                <c:pt idx="0">
                  <c:v>1.40515813390695E-2</c:v>
                </c:pt>
                <c:pt idx="1">
                  <c:v>1.7884614459500899E-2</c:v>
                </c:pt>
                <c:pt idx="2">
                  <c:v>2.6512429773246901E-2</c:v>
                </c:pt>
                <c:pt idx="3">
                  <c:v>2.3202593143228801E-2</c:v>
                </c:pt>
                <c:pt idx="4">
                  <c:v>2.2738413877971701E-2</c:v>
                </c:pt>
                <c:pt idx="5">
                  <c:v>2.6399006434460501E-2</c:v>
                </c:pt>
                <c:pt idx="6">
                  <c:v>2.78588091350324E-2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6F-304B-84AE-4E327698F774}"/>
            </c:ext>
          </c:extLst>
        </c:ser>
        <c:ser>
          <c:idx val="2"/>
          <c:order val="1"/>
          <c:tx>
            <c:v>Mean corrected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'eps0.01'!$A$3:$A$9</c:f>
              <c:numCache>
                <c:formatCode>General</c:formatCode>
                <c:ptCount val="7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</c:numCache>
            </c:numRef>
          </c:xVal>
          <c:yVal>
            <c:numRef>
              <c:f>'eps0.01'!$G$3:$G$9</c:f>
              <c:numCache>
                <c:formatCode>General</c:formatCode>
                <c:ptCount val="7"/>
                <c:pt idx="0">
                  <c:v>1.30453064918408E-2</c:v>
                </c:pt>
                <c:pt idx="1">
                  <c:v>1.7743232804342399E-2</c:v>
                </c:pt>
                <c:pt idx="2">
                  <c:v>2.4655036376941001E-2</c:v>
                </c:pt>
                <c:pt idx="3">
                  <c:v>2.29457957407769E-2</c:v>
                </c:pt>
                <c:pt idx="4">
                  <c:v>2.1589108600980001E-2</c:v>
                </c:pt>
                <c:pt idx="5">
                  <c:v>2.4773883214060599E-2</c:v>
                </c:pt>
                <c:pt idx="6">
                  <c:v>2.6076000481327501E-2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6F-304B-84AE-4E327698F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330127"/>
        <c:axId val="1105331855"/>
      </c:scatterChart>
      <c:valAx>
        <c:axId val="1105330127"/>
        <c:scaling>
          <c:orientation val="minMax"/>
          <c:max val="0.35"/>
          <c:min val="0.0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331855"/>
        <c:crosses val="autoZero"/>
        <c:crossBetween val="midCat"/>
      </c:valAx>
      <c:valAx>
        <c:axId val="110533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33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Δt = 0.1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'eps0.01_peddle'!$C$2:$AE$2</c:f>
              <c:numCache>
                <c:formatCode>General</c:formatCode>
                <c:ptCount val="2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</c:numCache>
            </c:numRef>
          </c:xVal>
          <c:yVal>
            <c:numRef>
              <c:f>'eps0.01_peddle'!$C$4:$AE$4</c:f>
              <c:numCache>
                <c:formatCode>0.00E+00</c:formatCode>
                <c:ptCount val="29"/>
                <c:pt idx="0">
                  <c:v>0.13209596236680099</c:v>
                </c:pt>
                <c:pt idx="1">
                  <c:v>0.11686729970590699</c:v>
                </c:pt>
                <c:pt idx="2">
                  <c:v>9.5026387049183897E-2</c:v>
                </c:pt>
                <c:pt idx="3">
                  <c:v>7.0382338170656797E-2</c:v>
                </c:pt>
                <c:pt idx="4">
                  <c:v>4.70238488082238E-2</c:v>
                </c:pt>
                <c:pt idx="5">
                  <c:v>2.89948689715448E-2</c:v>
                </c:pt>
                <c:pt idx="6">
                  <c:v>2.0219344601798101E-2</c:v>
                </c:pt>
                <c:pt idx="7">
                  <c:v>2.0806780617611199E-2</c:v>
                </c:pt>
                <c:pt idx="8">
                  <c:v>2.2469374132102801E-2</c:v>
                </c:pt>
                <c:pt idx="9">
                  <c:v>2.18832278132782E-2</c:v>
                </c:pt>
                <c:pt idx="10">
                  <c:v>2.02487388429415E-2</c:v>
                </c:pt>
                <c:pt idx="11">
                  <c:v>1.9452631058963901E-2</c:v>
                </c:pt>
                <c:pt idx="12">
                  <c:v>1.9930590714689101E-2</c:v>
                </c:pt>
                <c:pt idx="13">
                  <c:v>2.05689809653073E-2</c:v>
                </c:pt>
                <c:pt idx="14">
                  <c:v>2.06496943262626E-2</c:v>
                </c:pt>
                <c:pt idx="15">
                  <c:v>2.0201821496834901E-2</c:v>
                </c:pt>
                <c:pt idx="16">
                  <c:v>1.9688871339519499E-2</c:v>
                </c:pt>
                <c:pt idx="17">
                  <c:v>1.9421746701089499E-2</c:v>
                </c:pt>
                <c:pt idx="18">
                  <c:v>1.9368124995017302E-2</c:v>
                </c:pt>
                <c:pt idx="19">
                  <c:v>1.93391258168263E-2</c:v>
                </c:pt>
                <c:pt idx="20">
                  <c:v>1.92789244692388E-2</c:v>
                </c:pt>
                <c:pt idx="21">
                  <c:v>1.92729353386694E-2</c:v>
                </c:pt>
                <c:pt idx="22">
                  <c:v>1.9383228153468601E-2</c:v>
                </c:pt>
                <c:pt idx="23">
                  <c:v>1.9540600695560899E-2</c:v>
                </c:pt>
                <c:pt idx="24">
                  <c:v>1.96273944022923E-2</c:v>
                </c:pt>
                <c:pt idx="25">
                  <c:v>1.9595512595573801E-2</c:v>
                </c:pt>
                <c:pt idx="26">
                  <c:v>1.94899505504997E-2</c:v>
                </c:pt>
                <c:pt idx="27">
                  <c:v>1.9387643660942699E-2</c:v>
                </c:pt>
                <c:pt idx="28">
                  <c:v>1.93360373057293E-2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1D-4FA1-A3EB-358067E6D6B5}"/>
            </c:ext>
          </c:extLst>
        </c:ser>
        <c:ser>
          <c:idx val="1"/>
          <c:order val="1"/>
          <c:tx>
            <c:v>Δt = 0.2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'eps0.01_peddle'!$C$2:$AE$2</c:f>
              <c:numCache>
                <c:formatCode>General</c:formatCode>
                <c:ptCount val="2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</c:numCache>
            </c:numRef>
          </c:xVal>
          <c:yVal>
            <c:numRef>
              <c:f>'eps0.01_peddle'!$C$6:$AE$6</c:f>
              <c:numCache>
                <c:formatCode>0.00E+00</c:formatCode>
                <c:ptCount val="29"/>
                <c:pt idx="0">
                  <c:v>5.8309719075428097E-2</c:v>
                </c:pt>
                <c:pt idx="1">
                  <c:v>5.2510871933548101E-2</c:v>
                </c:pt>
                <c:pt idx="2">
                  <c:v>4.4428905901797697E-2</c:v>
                </c:pt>
                <c:pt idx="3">
                  <c:v>3.5872207162517898E-2</c:v>
                </c:pt>
                <c:pt idx="4">
                  <c:v>2.8882679392554102E-2</c:v>
                </c:pt>
                <c:pt idx="5">
                  <c:v>2.4938866123963101E-2</c:v>
                </c:pt>
                <c:pt idx="6">
                  <c:v>2.37727698165308E-2</c:v>
                </c:pt>
                <c:pt idx="7">
                  <c:v>2.4265083392322102E-2</c:v>
                </c:pt>
                <c:pt idx="8">
                  <c:v>2.4711326077593899E-2</c:v>
                </c:pt>
                <c:pt idx="9">
                  <c:v>2.45922572403009E-2</c:v>
                </c:pt>
                <c:pt idx="10">
                  <c:v>2.4194103123259598E-2</c:v>
                </c:pt>
                <c:pt idx="11">
                  <c:v>2.3922056627874499E-2</c:v>
                </c:pt>
                <c:pt idx="12">
                  <c:v>2.3917869031873599E-2</c:v>
                </c:pt>
                <c:pt idx="13">
                  <c:v>2.4002663747583301E-2</c:v>
                </c:pt>
                <c:pt idx="14">
                  <c:v>2.4027378389587101E-2</c:v>
                </c:pt>
                <c:pt idx="15">
                  <c:v>2.3988676189189099E-2</c:v>
                </c:pt>
                <c:pt idx="16">
                  <c:v>2.3939867784402599E-2</c:v>
                </c:pt>
                <c:pt idx="17">
                  <c:v>2.39225310232964E-2</c:v>
                </c:pt>
                <c:pt idx="18">
                  <c:v>2.3929488469873399E-2</c:v>
                </c:pt>
                <c:pt idx="19">
                  <c:v>2.39335691471439E-2</c:v>
                </c:pt>
                <c:pt idx="20">
                  <c:v>2.3917962322281099E-2</c:v>
                </c:pt>
                <c:pt idx="21">
                  <c:v>2.38953216599244E-2</c:v>
                </c:pt>
                <c:pt idx="22">
                  <c:v>2.3882757093715099E-2</c:v>
                </c:pt>
                <c:pt idx="23">
                  <c:v>2.3882855768162702E-2</c:v>
                </c:pt>
                <c:pt idx="24">
                  <c:v>2.3884789275478002E-2</c:v>
                </c:pt>
                <c:pt idx="25">
                  <c:v>2.38829678087835E-2</c:v>
                </c:pt>
                <c:pt idx="26">
                  <c:v>2.3880576366879899E-2</c:v>
                </c:pt>
                <c:pt idx="27">
                  <c:v>2.38823748531873E-2</c:v>
                </c:pt>
                <c:pt idx="28">
                  <c:v>2.3887588129703499E-2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1D-4FA1-A3EB-358067E6D6B5}"/>
            </c:ext>
          </c:extLst>
        </c:ser>
        <c:ser>
          <c:idx val="2"/>
          <c:order val="2"/>
          <c:tx>
            <c:v>Δt = 0.3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'eps0.01_peddle'!$C$2:$AE$2</c:f>
              <c:numCache>
                <c:formatCode>General</c:formatCode>
                <c:ptCount val="2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</c:numCache>
            </c:numRef>
          </c:xVal>
          <c:yVal>
            <c:numRef>
              <c:f>'eps0.01_peddle'!$C$8:$AE$8</c:f>
              <c:numCache>
                <c:formatCode>0.00E+00</c:formatCode>
                <c:ptCount val="29"/>
                <c:pt idx="0">
                  <c:v>3.3018368859765598E-2</c:v>
                </c:pt>
                <c:pt idx="1">
                  <c:v>3.0879832810639801E-2</c:v>
                </c:pt>
                <c:pt idx="2">
                  <c:v>2.8902537924145998E-2</c:v>
                </c:pt>
                <c:pt idx="3">
                  <c:v>2.7907649282164899E-2</c:v>
                </c:pt>
                <c:pt idx="4">
                  <c:v>2.7857723097034E-2</c:v>
                </c:pt>
                <c:pt idx="5">
                  <c:v>2.81493081637442E-2</c:v>
                </c:pt>
                <c:pt idx="6">
                  <c:v>2.8464917519403998E-2</c:v>
                </c:pt>
                <c:pt idx="7">
                  <c:v>2.8707041184945801E-2</c:v>
                </c:pt>
                <c:pt idx="8">
                  <c:v>2.88467700705431E-2</c:v>
                </c:pt>
                <c:pt idx="9">
                  <c:v>2.8889858018644299E-2</c:v>
                </c:pt>
                <c:pt idx="10">
                  <c:v>2.88944870912302E-2</c:v>
                </c:pt>
                <c:pt idx="11">
                  <c:v>2.8907472005552999E-2</c:v>
                </c:pt>
                <c:pt idx="12">
                  <c:v>2.8921015911614799E-2</c:v>
                </c:pt>
                <c:pt idx="13">
                  <c:v>2.8926173144009099E-2</c:v>
                </c:pt>
                <c:pt idx="14">
                  <c:v>2.8935146089298099E-2</c:v>
                </c:pt>
                <c:pt idx="15">
                  <c:v>2.8956991271502801E-2</c:v>
                </c:pt>
                <c:pt idx="16">
                  <c:v>2.8975906525231701E-2</c:v>
                </c:pt>
                <c:pt idx="17">
                  <c:v>2.89749105921316E-2</c:v>
                </c:pt>
                <c:pt idx="18">
                  <c:v>2.8958834673777401E-2</c:v>
                </c:pt>
                <c:pt idx="19">
                  <c:v>2.8942090891168899E-2</c:v>
                </c:pt>
                <c:pt idx="20">
                  <c:v>2.89266118561269E-2</c:v>
                </c:pt>
                <c:pt idx="21">
                  <c:v>2.8906032485043202E-2</c:v>
                </c:pt>
                <c:pt idx="22">
                  <c:v>2.8881173183095001E-2</c:v>
                </c:pt>
                <c:pt idx="23">
                  <c:v>2.88602109914886E-2</c:v>
                </c:pt>
                <c:pt idx="24">
                  <c:v>2.8850380985061898E-2</c:v>
                </c:pt>
                <c:pt idx="25">
                  <c:v>2.8853083881944599E-2</c:v>
                </c:pt>
                <c:pt idx="26">
                  <c:v>2.8864512041518301E-2</c:v>
                </c:pt>
                <c:pt idx="27">
                  <c:v>2.8878191414613098E-2</c:v>
                </c:pt>
                <c:pt idx="28">
                  <c:v>2.8889421728738599E-2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1D-4FA1-A3EB-358067E6D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815192"/>
        <c:axId val="460815520"/>
      </c:scatterChart>
      <c:valAx>
        <c:axId val="460815192"/>
        <c:scaling>
          <c:orientation val="minMax"/>
          <c:max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15520"/>
        <c:crossesAt val="1.0000000000000002E-2"/>
        <c:crossBetween val="midCat"/>
      </c:valAx>
      <c:valAx>
        <c:axId val="460815520"/>
        <c:scaling>
          <c:logBase val="10"/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15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'eps0.001'!$C$2:$C$8</c:f>
              <c:numCache>
                <c:formatCode>General</c:formatCode>
                <c:ptCount val="7"/>
                <c:pt idx="0">
                  <c:v>2.4392945273744799E-3</c:v>
                </c:pt>
                <c:pt idx="1">
                  <c:v>2.7457486760900799E-3</c:v>
                </c:pt>
                <c:pt idx="2">
                  <c:v>2.0667605743544602E-3</c:v>
                </c:pt>
                <c:pt idx="3">
                  <c:v>2.3844907231887302E-3</c:v>
                </c:pt>
                <c:pt idx="4">
                  <c:v>2.8242953717986501E-3</c:v>
                </c:pt>
                <c:pt idx="5">
                  <c:v>1.9440676589923E-3</c:v>
                </c:pt>
                <c:pt idx="6">
                  <c:v>2.1691363718298901E-3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8-4542-AA51-1539862F21A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'eps0.001'!$G$2:$G$8</c:f>
              <c:numCache>
                <c:formatCode>General</c:formatCode>
                <c:ptCount val="7"/>
                <c:pt idx="0">
                  <c:v>2.3710695789265798E-3</c:v>
                </c:pt>
                <c:pt idx="1">
                  <c:v>2.5815670999468601E-3</c:v>
                </c:pt>
                <c:pt idx="2">
                  <c:v>2.00468177394963E-3</c:v>
                </c:pt>
                <c:pt idx="3">
                  <c:v>2.2086867268496201E-3</c:v>
                </c:pt>
                <c:pt idx="4">
                  <c:v>2.65178042088942E-3</c:v>
                </c:pt>
                <c:pt idx="5">
                  <c:v>1.89934515758009E-3</c:v>
                </c:pt>
                <c:pt idx="6">
                  <c:v>2.0567853427221399E-3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8-4542-AA51-1539862F2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622671"/>
        <c:axId val="1256624383"/>
      </c:lineChart>
      <c:catAx>
        <c:axId val="125662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624383"/>
        <c:crosses val="autoZero"/>
        <c:auto val="1"/>
        <c:lblAlgn val="ctr"/>
        <c:lblOffset val="100"/>
        <c:noMultiLvlLbl val="0"/>
      </c:catAx>
      <c:valAx>
        <c:axId val="125662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62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'eps0.001_peddle'!$B$4</c:f>
              <c:strCache>
                <c:ptCount val="1"/>
                <c:pt idx="0">
                  <c:v>dt=0.1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'eps0.001_peddle'!$C$4:$U$4</c:f>
              <c:numCache>
                <c:formatCode>0.00E+00</c:formatCode>
                <c:ptCount val="19"/>
                <c:pt idx="0">
                  <c:v>5.2667999610878802E-3</c:v>
                </c:pt>
                <c:pt idx="1">
                  <c:v>4.8113966639886799E-3</c:v>
                </c:pt>
                <c:pt idx="2">
                  <c:v>4.2157030723789001E-3</c:v>
                </c:pt>
                <c:pt idx="3">
                  <c:v>3.6322352503690902E-3</c:v>
                </c:pt>
                <c:pt idx="4">
                  <c:v>3.1909364031095701E-3</c:v>
                </c:pt>
                <c:pt idx="5">
                  <c:v>2.95280112431512E-3</c:v>
                </c:pt>
                <c:pt idx="6">
                  <c:v>2.8916268011071802E-3</c:v>
                </c:pt>
                <c:pt idx="7">
                  <c:v>2.9064409263301E-3</c:v>
                </c:pt>
                <c:pt idx="8">
                  <c:v>2.9231778357276098E-3</c:v>
                </c:pt>
                <c:pt idx="9">
                  <c:v>2.9224987497133898E-3</c:v>
                </c:pt>
                <c:pt idx="10">
                  <c:v>2.9170894089518701E-3</c:v>
                </c:pt>
                <c:pt idx="11">
                  <c:v>2.9178051488496699E-3</c:v>
                </c:pt>
                <c:pt idx="12">
                  <c:v>2.9246310558298499E-3</c:v>
                </c:pt>
                <c:pt idx="13">
                  <c:v>2.9303330315972498E-3</c:v>
                </c:pt>
                <c:pt idx="14">
                  <c:v>2.9314362480984601E-3</c:v>
                </c:pt>
                <c:pt idx="15">
                  <c:v>2.9295921380288201E-3</c:v>
                </c:pt>
                <c:pt idx="16">
                  <c:v>2.9268548139379401E-3</c:v>
                </c:pt>
                <c:pt idx="17">
                  <c:v>2.9239480095143598E-3</c:v>
                </c:pt>
                <c:pt idx="18">
                  <c:v>2.9213469496061602E-3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5D-4420-AA36-C52A7536998C}"/>
            </c:ext>
          </c:extLst>
        </c:ser>
        <c:ser>
          <c:idx val="2"/>
          <c:order val="2"/>
          <c:tx>
            <c:strRef>
              <c:f>'eps0.001_peddle'!$B$6</c:f>
              <c:strCache>
                <c:ptCount val="1"/>
                <c:pt idx="0">
                  <c:v>dt=0.2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'eps0.001_peddle'!$C$6:$U$6</c:f>
              <c:numCache>
                <c:formatCode>0.00E+00</c:formatCode>
                <c:ptCount val="19"/>
                <c:pt idx="0">
                  <c:v>3.29199413137113E-3</c:v>
                </c:pt>
                <c:pt idx="1">
                  <c:v>3.0053245784428602E-3</c:v>
                </c:pt>
                <c:pt idx="2">
                  <c:v>2.68951334083967E-3</c:v>
                </c:pt>
                <c:pt idx="3">
                  <c:v>2.45253909122067E-3</c:v>
                </c:pt>
                <c:pt idx="4">
                  <c:v>2.3345168803885802E-3</c:v>
                </c:pt>
                <c:pt idx="5">
                  <c:v>2.3276138518578998E-3</c:v>
                </c:pt>
                <c:pt idx="6">
                  <c:v>2.3809642503420502E-3</c:v>
                </c:pt>
                <c:pt idx="7">
                  <c:v>2.4325059712645299E-3</c:v>
                </c:pt>
                <c:pt idx="8">
                  <c:v>2.4571469774885301E-3</c:v>
                </c:pt>
                <c:pt idx="9">
                  <c:v>2.4529725011008699E-3</c:v>
                </c:pt>
                <c:pt idx="10">
                  <c:v>2.4350848336108098E-3</c:v>
                </c:pt>
                <c:pt idx="11">
                  <c:v>2.4178340175376998E-3</c:v>
                </c:pt>
                <c:pt idx="12">
                  <c:v>2.40656187538071E-3</c:v>
                </c:pt>
                <c:pt idx="13">
                  <c:v>2.4013842013679999E-3</c:v>
                </c:pt>
                <c:pt idx="14">
                  <c:v>2.4015446476843999E-3</c:v>
                </c:pt>
                <c:pt idx="15">
                  <c:v>2.4056922125494399E-3</c:v>
                </c:pt>
                <c:pt idx="16">
                  <c:v>2.4114974458973402E-3</c:v>
                </c:pt>
                <c:pt idx="17">
                  <c:v>2.41619150955928E-3</c:v>
                </c:pt>
                <c:pt idx="18">
                  <c:v>2.4187488917840299E-3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5D-4420-AA36-C52A7536998C}"/>
            </c:ext>
          </c:extLst>
        </c:ser>
        <c:ser>
          <c:idx val="4"/>
          <c:order val="4"/>
          <c:tx>
            <c:strRef>
              <c:f>'eps0.001_peddle'!$B$8</c:f>
              <c:strCache>
                <c:ptCount val="1"/>
                <c:pt idx="0">
                  <c:v>dt=0.3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'eps0.001_peddle'!$C$8:$U$8</c:f>
              <c:numCache>
                <c:formatCode>0.00E+00</c:formatCode>
                <c:ptCount val="19"/>
                <c:pt idx="0">
                  <c:v>3.3419353045017102E-3</c:v>
                </c:pt>
                <c:pt idx="1">
                  <c:v>3.1557334660976002E-3</c:v>
                </c:pt>
                <c:pt idx="2">
                  <c:v>2.9892345455189199E-3</c:v>
                </c:pt>
                <c:pt idx="3">
                  <c:v>2.9129201712027098E-3</c:v>
                </c:pt>
                <c:pt idx="4">
                  <c:v>2.9088252249440702E-3</c:v>
                </c:pt>
                <c:pt idx="5">
                  <c:v>2.9277548063273602E-3</c:v>
                </c:pt>
                <c:pt idx="6">
                  <c:v>2.9473121374187401E-3</c:v>
                </c:pt>
                <c:pt idx="7">
                  <c:v>2.96186217307691E-3</c:v>
                </c:pt>
                <c:pt idx="8">
                  <c:v>2.9707625394751898E-3</c:v>
                </c:pt>
                <c:pt idx="9">
                  <c:v>2.9762251050665998E-3</c:v>
                </c:pt>
                <c:pt idx="10">
                  <c:v>2.9807936818378E-3</c:v>
                </c:pt>
                <c:pt idx="11">
                  <c:v>2.98552332944888E-3</c:v>
                </c:pt>
                <c:pt idx="12">
                  <c:v>2.9889800860117802E-3</c:v>
                </c:pt>
                <c:pt idx="13">
                  <c:v>2.9901946654202899E-3</c:v>
                </c:pt>
                <c:pt idx="14">
                  <c:v>2.99069184230936E-3</c:v>
                </c:pt>
                <c:pt idx="15">
                  <c:v>2.9920707269649799E-3</c:v>
                </c:pt>
                <c:pt idx="16">
                  <c:v>2.9931403473294998E-3</c:v>
                </c:pt>
                <c:pt idx="17">
                  <c:v>2.9924171695151301E-3</c:v>
                </c:pt>
                <c:pt idx="18">
                  <c:v>2.99038110040918E-3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5D-4420-AA36-C52A75369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078352"/>
        <c:axId val="3650803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'eps0.001_peddle'!$B$5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'eps0.001_peddle'!$C$5:$U$5</c15:sqref>
                        </c15:formulaRef>
                      </c:ext>
                    </c:extLst>
                    <c:numCache>
                      <c:formatCode>General</c:formatCode>
                      <c:ptCount val="1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B5D-4420-AA36-C52A7536998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'eps0.001_peddle'!$B$7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'eps0.001_peddle'!$C$7:$U$7</c15:sqref>
                        </c15:formulaRef>
                      </c:ext>
                    </c:extLst>
                    <c:numCache>
                      <c:formatCode>General</c:formatCode>
                      <c:ptCount val="19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B5D-4420-AA36-C52A7536998C}"/>
                  </c:ext>
                </c:extLst>
              </c15:ser>
            </c15:filteredLineSeries>
          </c:ext>
        </c:extLst>
      </c:lineChart>
      <c:catAx>
        <c:axId val="36507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80320"/>
        <c:crosses val="autoZero"/>
        <c:auto val="1"/>
        <c:lblAlgn val="ctr"/>
        <c:lblOffset val="100"/>
        <c:noMultiLvlLbl val="0"/>
      </c:catAx>
      <c:valAx>
        <c:axId val="36508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Gaussian RSWEs, </a:t>
            </a:r>
            <a:r>
              <a:rPr lang="el-GR" sz="1400" b="0" i="0" u="none" strike="noStrike" baseline="0">
                <a:effectLst/>
              </a:rPr>
              <a:t>η</a:t>
            </a:r>
            <a:r>
              <a:rPr lang="en-GB" sz="1400" b="0" i="0" u="none" strike="noStrike" baseline="0">
                <a:effectLst/>
              </a:rPr>
              <a:t>_C Peddle Plot, </a:t>
            </a:r>
            <a:r>
              <a:rPr lang="el-GR" sz="1400" b="0" i="0" u="none" strike="noStrike" baseline="0">
                <a:effectLst/>
              </a:rPr>
              <a:t>Δ</a:t>
            </a:r>
            <a:r>
              <a:rPr lang="en-GB"/>
              <a:t>t = 0.1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ϵ = 0.1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comparisons'!$B$4:$AD$4</c:f>
              <c:numCache>
                <c:formatCode>0.00E+00</c:formatCode>
                <c:ptCount val="29"/>
                <c:pt idx="0">
                  <c:v>5.1115187157433999</c:v>
                </c:pt>
                <c:pt idx="1">
                  <c:v>4.50831265960168</c:v>
                </c:pt>
                <c:pt idx="2">
                  <c:v>3.5949938848679102</c:v>
                </c:pt>
                <c:pt idx="3">
                  <c:v>2.5744096681881401</c:v>
                </c:pt>
                <c:pt idx="4">
                  <c:v>1.59720948494673</c:v>
                </c:pt>
                <c:pt idx="5">
                  <c:v>0.76431315231799102</c:v>
                </c:pt>
                <c:pt idx="6">
                  <c:v>0.22153402615038201</c:v>
                </c:pt>
                <c:pt idx="7">
                  <c:v>0.32538526238524301</c:v>
                </c:pt>
                <c:pt idx="8">
                  <c:v>0.48364031169562199</c:v>
                </c:pt>
                <c:pt idx="9">
                  <c:v>0.44998798031984999</c:v>
                </c:pt>
                <c:pt idx="10">
                  <c:v>0.29755306135399601</c:v>
                </c:pt>
                <c:pt idx="11">
                  <c:v>0.11736074434258099</c:v>
                </c:pt>
                <c:pt idx="12">
                  <c:v>7.8717452845956798E-2</c:v>
                </c:pt>
                <c:pt idx="13">
                  <c:v>0.14800000727877499</c:v>
                </c:pt>
                <c:pt idx="14">
                  <c:v>0.16398314432102801</c:v>
                </c:pt>
                <c:pt idx="15">
                  <c:v>0.12300379248092901</c:v>
                </c:pt>
                <c:pt idx="16">
                  <c:v>5.2062182363666602E-2</c:v>
                </c:pt>
                <c:pt idx="17">
                  <c:v>4.0321214984565999E-2</c:v>
                </c:pt>
                <c:pt idx="18">
                  <c:v>8.5431572802831507E-2</c:v>
                </c:pt>
                <c:pt idx="19">
                  <c:v>0.100350328821131</c:v>
                </c:pt>
                <c:pt idx="20">
                  <c:v>8.3734303032745094E-2</c:v>
                </c:pt>
                <c:pt idx="21">
                  <c:v>4.89186626312689E-2</c:v>
                </c:pt>
                <c:pt idx="22">
                  <c:v>2.4944346026909401E-2</c:v>
                </c:pt>
                <c:pt idx="23">
                  <c:v>3.9450547679081301E-2</c:v>
                </c:pt>
                <c:pt idx="24">
                  <c:v>5.0928601233715703E-2</c:v>
                </c:pt>
                <c:pt idx="25">
                  <c:v>4.6326480483986299E-2</c:v>
                </c:pt>
                <c:pt idx="26">
                  <c:v>3.2900675922666003E-2</c:v>
                </c:pt>
                <c:pt idx="27">
                  <c:v>2.71640062503463E-2</c:v>
                </c:pt>
                <c:pt idx="28">
                  <c:v>3.5639830960685299E-2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BF-4C14-B271-3502D8ACB404}"/>
            </c:ext>
          </c:extLst>
        </c:ser>
        <c:ser>
          <c:idx val="1"/>
          <c:order val="1"/>
          <c:tx>
            <c:v>ϵ = 0.05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comparisons'!$B$5:$AD$5</c:f>
              <c:numCache>
                <c:formatCode>0.00E+00</c:formatCode>
                <c:ptCount val="29"/>
                <c:pt idx="0">
                  <c:v>4.0651866681720801</c:v>
                </c:pt>
                <c:pt idx="1">
                  <c:v>3.5763620280301698</c:v>
                </c:pt>
                <c:pt idx="2">
                  <c:v>2.86532132425685</c:v>
                </c:pt>
                <c:pt idx="3">
                  <c:v>2.05481619057689</c:v>
                </c:pt>
                <c:pt idx="4">
                  <c:v>1.2587748490649999</c:v>
                </c:pt>
                <c:pt idx="5">
                  <c:v>0.57116693768668103</c:v>
                </c:pt>
                <c:pt idx="6">
                  <c:v>0.13209789944995201</c:v>
                </c:pt>
                <c:pt idx="7">
                  <c:v>0.29930016674903398</c:v>
                </c:pt>
                <c:pt idx="8">
                  <c:v>0.42202969394522999</c:v>
                </c:pt>
                <c:pt idx="9">
                  <c:v>0.38955060341028902</c:v>
                </c:pt>
                <c:pt idx="10">
                  <c:v>0.263317183960533</c:v>
                </c:pt>
                <c:pt idx="11">
                  <c:v>0.11499660066489301</c:v>
                </c:pt>
                <c:pt idx="12">
                  <c:v>6.1874048619420002E-2</c:v>
                </c:pt>
                <c:pt idx="13">
                  <c:v>0.113474430344656</c:v>
                </c:pt>
                <c:pt idx="14">
                  <c:v>0.12685367631309499</c:v>
                </c:pt>
                <c:pt idx="15">
                  <c:v>9.4273407831899497E-2</c:v>
                </c:pt>
                <c:pt idx="16">
                  <c:v>4.2870759584123598E-2</c:v>
                </c:pt>
                <c:pt idx="17">
                  <c:v>5.2423417340601797E-2</c:v>
                </c:pt>
                <c:pt idx="18">
                  <c:v>8.8849901655733199E-2</c:v>
                </c:pt>
                <c:pt idx="19">
                  <c:v>0.101740683136851</c:v>
                </c:pt>
                <c:pt idx="20">
                  <c:v>8.9668757167722907E-2</c:v>
                </c:pt>
                <c:pt idx="21">
                  <c:v>6.3246253237789707E-2</c:v>
                </c:pt>
                <c:pt idx="22">
                  <c:v>3.9843934508113202E-2</c:v>
                </c:pt>
                <c:pt idx="23">
                  <c:v>3.7390713541898601E-2</c:v>
                </c:pt>
                <c:pt idx="24">
                  <c:v>4.1935893425834501E-2</c:v>
                </c:pt>
                <c:pt idx="25">
                  <c:v>4.0241877018071803E-2</c:v>
                </c:pt>
                <c:pt idx="26">
                  <c:v>3.6980514670220503E-2</c:v>
                </c:pt>
                <c:pt idx="27">
                  <c:v>4.2112944450798398E-2</c:v>
                </c:pt>
                <c:pt idx="28">
                  <c:v>5.1936252718024302E-2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BF-4C14-B271-3502D8ACB404}"/>
            </c:ext>
          </c:extLst>
        </c:ser>
        <c:ser>
          <c:idx val="2"/>
          <c:order val="2"/>
          <c:tx>
            <c:v>ϵ = 0.01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comparisons'!$B$6:$AD$6</c:f>
              <c:numCache>
                <c:formatCode>0.00E+00</c:formatCode>
                <c:ptCount val="29"/>
                <c:pt idx="0">
                  <c:v>0.13209596236680099</c:v>
                </c:pt>
                <c:pt idx="1">
                  <c:v>0.11686729970590699</c:v>
                </c:pt>
                <c:pt idx="2">
                  <c:v>9.5026387049183897E-2</c:v>
                </c:pt>
                <c:pt idx="3">
                  <c:v>7.0382338170656797E-2</c:v>
                </c:pt>
                <c:pt idx="4">
                  <c:v>4.70238488082238E-2</c:v>
                </c:pt>
                <c:pt idx="5">
                  <c:v>2.89948689715448E-2</c:v>
                </c:pt>
                <c:pt idx="6">
                  <c:v>2.0219344601798101E-2</c:v>
                </c:pt>
                <c:pt idx="7">
                  <c:v>2.0806780617611199E-2</c:v>
                </c:pt>
                <c:pt idx="8">
                  <c:v>2.2469374132102801E-2</c:v>
                </c:pt>
                <c:pt idx="9">
                  <c:v>2.18832278132782E-2</c:v>
                </c:pt>
                <c:pt idx="10">
                  <c:v>2.02487388429415E-2</c:v>
                </c:pt>
                <c:pt idx="11">
                  <c:v>1.9452631058963901E-2</c:v>
                </c:pt>
                <c:pt idx="12">
                  <c:v>1.9930590714689101E-2</c:v>
                </c:pt>
                <c:pt idx="13">
                  <c:v>2.05689809653073E-2</c:v>
                </c:pt>
                <c:pt idx="14">
                  <c:v>2.06496943262626E-2</c:v>
                </c:pt>
                <c:pt idx="15">
                  <c:v>2.0201821496834901E-2</c:v>
                </c:pt>
                <c:pt idx="16">
                  <c:v>1.9688871339519499E-2</c:v>
                </c:pt>
                <c:pt idx="17">
                  <c:v>1.9421746701089499E-2</c:v>
                </c:pt>
                <c:pt idx="18">
                  <c:v>1.9368124995017302E-2</c:v>
                </c:pt>
                <c:pt idx="19">
                  <c:v>1.93391258168263E-2</c:v>
                </c:pt>
                <c:pt idx="20">
                  <c:v>1.92789244692388E-2</c:v>
                </c:pt>
                <c:pt idx="21">
                  <c:v>1.92729353386694E-2</c:v>
                </c:pt>
                <c:pt idx="22">
                  <c:v>1.9383228153468601E-2</c:v>
                </c:pt>
                <c:pt idx="23">
                  <c:v>1.9540600695560899E-2</c:v>
                </c:pt>
                <c:pt idx="24">
                  <c:v>1.96273944022923E-2</c:v>
                </c:pt>
                <c:pt idx="25">
                  <c:v>1.9595512595573801E-2</c:v>
                </c:pt>
                <c:pt idx="26">
                  <c:v>1.94899505504997E-2</c:v>
                </c:pt>
                <c:pt idx="27">
                  <c:v>1.9387643660942699E-2</c:v>
                </c:pt>
                <c:pt idx="28">
                  <c:v>1.93360373057293E-2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BF-4C14-B271-3502D8ACB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72048"/>
        <c:axId val="416477296"/>
      </c:scatterChart>
      <c:valAx>
        <c:axId val="416472048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</a:t>
                </a:r>
                <a:r>
                  <a:rPr lang="el-GR"/>
                  <a:t>ϵ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50287379702537183"/>
              <c:y val="0.79592519685039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77296"/>
        <c:crossesAt val="1.0000000000000002E-2"/>
        <c:crossBetween val="midCat"/>
      </c:valAx>
      <c:valAx>
        <c:axId val="416477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 S</a:t>
                </a:r>
                <a:r>
                  <a:rPr lang="en-GB"/>
                  <a:t>olution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72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Mean correction errors over oscillation count  RSWEs, </a:t>
            </a:r>
            <a:r>
              <a:rPr lang="el-GR" sz="1400" b="0" i="0" u="none" strike="noStrike" baseline="0">
                <a:effectLst/>
              </a:rPr>
              <a:t>Δ</a:t>
            </a:r>
            <a:r>
              <a:rPr lang="en-GB"/>
              <a:t>t = 0.1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ϵ = 0.5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comparisons'!$B$3:$AD$3</c:f>
              <c:numCache>
                <c:formatCode>0.00E+00</c:formatCode>
                <c:ptCount val="29"/>
                <c:pt idx="0">
                  <c:v>5.7418205406906297</c:v>
                </c:pt>
                <c:pt idx="1">
                  <c:v>5.1466188642010504</c:v>
                </c:pt>
                <c:pt idx="2">
                  <c:v>4.1655836433316704</c:v>
                </c:pt>
                <c:pt idx="3">
                  <c:v>3.0570562425557202</c:v>
                </c:pt>
                <c:pt idx="4">
                  <c:v>1.9843362333296799</c:v>
                </c:pt>
                <c:pt idx="5">
                  <c:v>1.0499779733874901</c:v>
                </c:pt>
                <c:pt idx="6">
                  <c:v>0.35202024460975301</c:v>
                </c:pt>
                <c:pt idx="7">
                  <c:v>0.18622448891662799</c:v>
                </c:pt>
                <c:pt idx="8">
                  <c:v>0.38207095286285803</c:v>
                </c:pt>
                <c:pt idx="9">
                  <c:v>0.39731717809560801</c:v>
                </c:pt>
                <c:pt idx="10">
                  <c:v>0.27883582132076001</c:v>
                </c:pt>
                <c:pt idx="11">
                  <c:v>0.113314609624052</c:v>
                </c:pt>
                <c:pt idx="12">
                  <c:v>3.9831510320913498E-2</c:v>
                </c:pt>
                <c:pt idx="13">
                  <c:v>0.11516244031117399</c:v>
                </c:pt>
                <c:pt idx="14">
                  <c:v>0.12750438621136601</c:v>
                </c:pt>
                <c:pt idx="15">
                  <c:v>8.7530379443633705E-2</c:v>
                </c:pt>
                <c:pt idx="16">
                  <c:v>2.9630305061445601E-2</c:v>
                </c:pt>
                <c:pt idx="17">
                  <c:v>6.5410957691558094E-2</c:v>
                </c:pt>
                <c:pt idx="18">
                  <c:v>0.110177779457964</c:v>
                </c:pt>
                <c:pt idx="19">
                  <c:v>0.117865629798083</c:v>
                </c:pt>
                <c:pt idx="20">
                  <c:v>9.0889206660441701E-2</c:v>
                </c:pt>
                <c:pt idx="21">
                  <c:v>4.6319229593399097E-2</c:v>
                </c:pt>
                <c:pt idx="22">
                  <c:v>2.3473542956288399E-2</c:v>
                </c:pt>
                <c:pt idx="23">
                  <c:v>4.9642548477521801E-2</c:v>
                </c:pt>
                <c:pt idx="24">
                  <c:v>6.3257998101146601E-2</c:v>
                </c:pt>
                <c:pt idx="25">
                  <c:v>5.7053843318645298E-2</c:v>
                </c:pt>
                <c:pt idx="26">
                  <c:v>3.7703990373268902E-2</c:v>
                </c:pt>
                <c:pt idx="27">
                  <c:v>2.29774437587047E-2</c:v>
                </c:pt>
                <c:pt idx="28">
                  <c:v>3.20692789864582E-2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665-4ECB-AC61-8C0C9B462F07}"/>
            </c:ext>
          </c:extLst>
        </c:ser>
        <c:ser>
          <c:idx val="0"/>
          <c:order val="1"/>
          <c:tx>
            <c:v>ϵ = 0.1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comparisons'!$B$4:$AD$4</c:f>
              <c:numCache>
                <c:formatCode>0.00E+00</c:formatCode>
                <c:ptCount val="29"/>
                <c:pt idx="0">
                  <c:v>5.1115187157433999</c:v>
                </c:pt>
                <c:pt idx="1">
                  <c:v>4.50831265960168</c:v>
                </c:pt>
                <c:pt idx="2">
                  <c:v>3.5949938848679102</c:v>
                </c:pt>
                <c:pt idx="3">
                  <c:v>2.5744096681881401</c:v>
                </c:pt>
                <c:pt idx="4">
                  <c:v>1.59720948494673</c:v>
                </c:pt>
                <c:pt idx="5">
                  <c:v>0.76431315231799102</c:v>
                </c:pt>
                <c:pt idx="6">
                  <c:v>0.22153402615038201</c:v>
                </c:pt>
                <c:pt idx="7">
                  <c:v>0.32538526238524301</c:v>
                </c:pt>
                <c:pt idx="8">
                  <c:v>0.48364031169562199</c:v>
                </c:pt>
                <c:pt idx="9">
                  <c:v>0.44998798031984999</c:v>
                </c:pt>
                <c:pt idx="10">
                  <c:v>0.29755306135399601</c:v>
                </c:pt>
                <c:pt idx="11">
                  <c:v>0.11736074434258099</c:v>
                </c:pt>
                <c:pt idx="12">
                  <c:v>7.8717452845956798E-2</c:v>
                </c:pt>
                <c:pt idx="13">
                  <c:v>0.14800000727877499</c:v>
                </c:pt>
                <c:pt idx="14">
                  <c:v>0.16398314432102801</c:v>
                </c:pt>
                <c:pt idx="15">
                  <c:v>0.12300379248092901</c:v>
                </c:pt>
                <c:pt idx="16">
                  <c:v>5.2062182363666602E-2</c:v>
                </c:pt>
                <c:pt idx="17">
                  <c:v>4.0321214984565999E-2</c:v>
                </c:pt>
                <c:pt idx="18">
                  <c:v>8.5431572802831507E-2</c:v>
                </c:pt>
                <c:pt idx="19">
                  <c:v>0.100350328821131</c:v>
                </c:pt>
                <c:pt idx="20">
                  <c:v>8.3734303032745094E-2</c:v>
                </c:pt>
                <c:pt idx="21">
                  <c:v>4.89186626312689E-2</c:v>
                </c:pt>
                <c:pt idx="22">
                  <c:v>2.4944346026909401E-2</c:v>
                </c:pt>
                <c:pt idx="23">
                  <c:v>3.9450547679081301E-2</c:v>
                </c:pt>
                <c:pt idx="24">
                  <c:v>5.0928601233715703E-2</c:v>
                </c:pt>
                <c:pt idx="25">
                  <c:v>4.6326480483986299E-2</c:v>
                </c:pt>
                <c:pt idx="26">
                  <c:v>3.2900675922666003E-2</c:v>
                </c:pt>
                <c:pt idx="27">
                  <c:v>2.71640062503463E-2</c:v>
                </c:pt>
                <c:pt idx="28">
                  <c:v>3.5639830960685299E-2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65-4ECB-AC61-8C0C9B462F07}"/>
            </c:ext>
          </c:extLst>
        </c:ser>
        <c:ser>
          <c:idx val="1"/>
          <c:order val="2"/>
          <c:tx>
            <c:v>ϵ = 0.05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comparisons'!$B$5:$AD$5</c:f>
              <c:numCache>
                <c:formatCode>0.00E+00</c:formatCode>
                <c:ptCount val="29"/>
                <c:pt idx="0">
                  <c:v>4.0651866681720801</c:v>
                </c:pt>
                <c:pt idx="1">
                  <c:v>3.5763620280301698</c:v>
                </c:pt>
                <c:pt idx="2">
                  <c:v>2.86532132425685</c:v>
                </c:pt>
                <c:pt idx="3">
                  <c:v>2.05481619057689</c:v>
                </c:pt>
                <c:pt idx="4">
                  <c:v>1.2587748490649999</c:v>
                </c:pt>
                <c:pt idx="5">
                  <c:v>0.57116693768668103</c:v>
                </c:pt>
                <c:pt idx="6">
                  <c:v>0.13209789944995201</c:v>
                </c:pt>
                <c:pt idx="7">
                  <c:v>0.29930016674903398</c:v>
                </c:pt>
                <c:pt idx="8">
                  <c:v>0.42202969394522999</c:v>
                </c:pt>
                <c:pt idx="9">
                  <c:v>0.38955060341028902</c:v>
                </c:pt>
                <c:pt idx="10">
                  <c:v>0.263317183960533</c:v>
                </c:pt>
                <c:pt idx="11">
                  <c:v>0.11499660066489301</c:v>
                </c:pt>
                <c:pt idx="12">
                  <c:v>6.1874048619420002E-2</c:v>
                </c:pt>
                <c:pt idx="13">
                  <c:v>0.113474430344656</c:v>
                </c:pt>
                <c:pt idx="14">
                  <c:v>0.12685367631309499</c:v>
                </c:pt>
                <c:pt idx="15">
                  <c:v>9.4273407831899497E-2</c:v>
                </c:pt>
                <c:pt idx="16">
                  <c:v>4.2870759584123598E-2</c:v>
                </c:pt>
                <c:pt idx="17">
                  <c:v>5.2423417340601797E-2</c:v>
                </c:pt>
                <c:pt idx="18">
                  <c:v>8.8849901655733199E-2</c:v>
                </c:pt>
                <c:pt idx="19">
                  <c:v>0.101740683136851</c:v>
                </c:pt>
                <c:pt idx="20">
                  <c:v>8.9668757167722907E-2</c:v>
                </c:pt>
                <c:pt idx="21">
                  <c:v>6.3246253237789707E-2</c:v>
                </c:pt>
                <c:pt idx="22">
                  <c:v>3.9843934508113202E-2</c:v>
                </c:pt>
                <c:pt idx="23">
                  <c:v>3.7390713541898601E-2</c:v>
                </c:pt>
                <c:pt idx="24">
                  <c:v>4.1935893425834501E-2</c:v>
                </c:pt>
                <c:pt idx="25">
                  <c:v>4.0241877018071803E-2</c:v>
                </c:pt>
                <c:pt idx="26">
                  <c:v>3.6980514670220503E-2</c:v>
                </c:pt>
                <c:pt idx="27">
                  <c:v>4.2112944450798398E-2</c:v>
                </c:pt>
                <c:pt idx="28">
                  <c:v>5.1936252718024302E-2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65-4ECB-AC61-8C0C9B462F07}"/>
            </c:ext>
          </c:extLst>
        </c:ser>
        <c:ser>
          <c:idx val="2"/>
          <c:order val="3"/>
          <c:tx>
            <c:v>ϵ = 0.01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comparisons'!$B$6:$AD$6</c:f>
              <c:numCache>
                <c:formatCode>0.00E+00</c:formatCode>
                <c:ptCount val="29"/>
                <c:pt idx="0">
                  <c:v>0.13209596236680099</c:v>
                </c:pt>
                <c:pt idx="1">
                  <c:v>0.11686729970590699</c:v>
                </c:pt>
                <c:pt idx="2">
                  <c:v>9.5026387049183897E-2</c:v>
                </c:pt>
                <c:pt idx="3">
                  <c:v>7.0382338170656797E-2</c:v>
                </c:pt>
                <c:pt idx="4">
                  <c:v>4.70238488082238E-2</c:v>
                </c:pt>
                <c:pt idx="5">
                  <c:v>2.89948689715448E-2</c:v>
                </c:pt>
                <c:pt idx="6">
                  <c:v>2.0219344601798101E-2</c:v>
                </c:pt>
                <c:pt idx="7">
                  <c:v>2.0806780617611199E-2</c:v>
                </c:pt>
                <c:pt idx="8">
                  <c:v>2.2469374132102801E-2</c:v>
                </c:pt>
                <c:pt idx="9">
                  <c:v>2.18832278132782E-2</c:v>
                </c:pt>
                <c:pt idx="10">
                  <c:v>2.02487388429415E-2</c:v>
                </c:pt>
                <c:pt idx="11">
                  <c:v>1.9452631058963901E-2</c:v>
                </c:pt>
                <c:pt idx="12">
                  <c:v>1.9930590714689101E-2</c:v>
                </c:pt>
                <c:pt idx="13">
                  <c:v>2.05689809653073E-2</c:v>
                </c:pt>
                <c:pt idx="14">
                  <c:v>2.06496943262626E-2</c:v>
                </c:pt>
                <c:pt idx="15">
                  <c:v>2.0201821496834901E-2</c:v>
                </c:pt>
                <c:pt idx="16">
                  <c:v>1.9688871339519499E-2</c:v>
                </c:pt>
                <c:pt idx="17">
                  <c:v>1.9421746701089499E-2</c:v>
                </c:pt>
                <c:pt idx="18">
                  <c:v>1.9368124995017302E-2</c:v>
                </c:pt>
                <c:pt idx="19">
                  <c:v>1.93391258168263E-2</c:v>
                </c:pt>
                <c:pt idx="20">
                  <c:v>1.92789244692388E-2</c:v>
                </c:pt>
                <c:pt idx="21">
                  <c:v>1.92729353386694E-2</c:v>
                </c:pt>
                <c:pt idx="22">
                  <c:v>1.9383228153468601E-2</c:v>
                </c:pt>
                <c:pt idx="23">
                  <c:v>1.9540600695560899E-2</c:v>
                </c:pt>
                <c:pt idx="24">
                  <c:v>1.96273944022923E-2</c:v>
                </c:pt>
                <c:pt idx="25">
                  <c:v>1.9595512595573801E-2</c:v>
                </c:pt>
                <c:pt idx="26">
                  <c:v>1.94899505504997E-2</c:v>
                </c:pt>
                <c:pt idx="27">
                  <c:v>1.9387643660942699E-2</c:v>
                </c:pt>
                <c:pt idx="28">
                  <c:v>1.93360373057293E-2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65-4ECB-AC61-8C0C9B462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72048"/>
        <c:axId val="416477296"/>
      </c:scatterChart>
      <c:valAx>
        <c:axId val="416472048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</a:t>
                </a:r>
              </a:p>
            </c:rich>
          </c:tx>
          <c:layout>
            <c:manualLayout>
              <c:xMode val="edge"/>
              <c:yMode val="edge"/>
              <c:x val="0.50287379702537183"/>
              <c:y val="0.79592519685039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77296"/>
        <c:crossesAt val="1.0000000000000002E-2"/>
        <c:crossBetween val="midCat"/>
      </c:valAx>
      <c:valAx>
        <c:axId val="416477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S</a:t>
                </a:r>
                <a:r>
                  <a:rPr lang="en-GB"/>
                  <a:t>olution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72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Mean correction errors over oscillation count  RSWEs, </a:t>
            </a:r>
            <a:r>
              <a:rPr lang="el-GR" sz="1400" b="0" i="0" baseline="0">
                <a:effectLst/>
              </a:rPr>
              <a:t>Δ</a:t>
            </a:r>
            <a:r>
              <a:rPr lang="en-GB" sz="1400" b="0" i="0" baseline="0">
                <a:effectLst/>
              </a:rPr>
              <a:t>t = 0.2</a:t>
            </a:r>
            <a:endParaRPr lang="en-GB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ϵ = 0.5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comparisons'!$B$11:$AD$11</c:f>
              <c:numCache>
                <c:formatCode>General</c:formatCode>
                <c:ptCount val="29"/>
                <c:pt idx="0">
                  <c:v>5.6695059597448498</c:v>
                </c:pt>
                <c:pt idx="1">
                  <c:v>5.0800575617731898</c:v>
                </c:pt>
                <c:pt idx="2">
                  <c:v>4.1051697628146098</c:v>
                </c:pt>
                <c:pt idx="3">
                  <c:v>3.0117521376553902</c:v>
                </c:pt>
                <c:pt idx="4">
                  <c:v>1.9534378436637301</c:v>
                </c:pt>
                <c:pt idx="5">
                  <c:v>1.03150610470647</c:v>
                </c:pt>
                <c:pt idx="6">
                  <c:v>0.348156397369007</c:v>
                </c:pt>
                <c:pt idx="7">
                  <c:v>0.19360724096791401</c:v>
                </c:pt>
                <c:pt idx="8">
                  <c:v>0.38418809012073801</c:v>
                </c:pt>
                <c:pt idx="9">
                  <c:v>0.39896296379776103</c:v>
                </c:pt>
                <c:pt idx="10">
                  <c:v>0.28334919577481199</c:v>
                </c:pt>
                <c:pt idx="11">
                  <c:v>0.124922754461524</c:v>
                </c:pt>
                <c:pt idx="12">
                  <c:v>6.0418911382801102E-2</c:v>
                </c:pt>
                <c:pt idx="13">
                  <c:v>0.11575560957929899</c:v>
                </c:pt>
                <c:pt idx="14">
                  <c:v>0.126075076819049</c:v>
                </c:pt>
                <c:pt idx="15">
                  <c:v>8.9929038053980601E-2</c:v>
                </c:pt>
                <c:pt idx="16">
                  <c:v>5.3366452837475403E-2</c:v>
                </c:pt>
                <c:pt idx="17">
                  <c:v>8.2785352158816702E-2</c:v>
                </c:pt>
                <c:pt idx="18">
                  <c:v>0.12232562587859901</c:v>
                </c:pt>
                <c:pt idx="19">
                  <c:v>0.129053568720916</c:v>
                </c:pt>
                <c:pt idx="20">
                  <c:v>0.10378582352362201</c:v>
                </c:pt>
                <c:pt idx="21">
                  <c:v>6.6342963765988305E-2</c:v>
                </c:pt>
                <c:pt idx="22">
                  <c:v>5.1387181908290697E-2</c:v>
                </c:pt>
                <c:pt idx="23">
                  <c:v>6.3896794186213204E-2</c:v>
                </c:pt>
                <c:pt idx="24">
                  <c:v>7.3478698123004504E-2</c:v>
                </c:pt>
                <c:pt idx="25">
                  <c:v>6.9003278767807999E-2</c:v>
                </c:pt>
                <c:pt idx="26">
                  <c:v>5.71979593232773E-2</c:v>
                </c:pt>
                <c:pt idx="27">
                  <c:v>5.1777291433137397E-2</c:v>
                </c:pt>
                <c:pt idx="28">
                  <c:v>5.72784288296058E-2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21-4051-B2AB-034A2030F31F}"/>
            </c:ext>
          </c:extLst>
        </c:ser>
        <c:ser>
          <c:idx val="0"/>
          <c:order val="1"/>
          <c:tx>
            <c:v>ϵ = 0.1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comparisons'!$B$12:$AD$12</c:f>
              <c:numCache>
                <c:formatCode>General</c:formatCode>
                <c:ptCount val="29"/>
                <c:pt idx="0">
                  <c:v>4.0804408721893202</c:v>
                </c:pt>
                <c:pt idx="1">
                  <c:v>3.5893852597531501</c:v>
                </c:pt>
                <c:pt idx="2">
                  <c:v>2.8750652701765298</c:v>
                </c:pt>
                <c:pt idx="3">
                  <c:v>2.0592741273560602</c:v>
                </c:pt>
                <c:pt idx="4">
                  <c:v>1.26182864804373</c:v>
                </c:pt>
                <c:pt idx="5">
                  <c:v>0.57773351471025003</c:v>
                </c:pt>
                <c:pt idx="6">
                  <c:v>0.16403076961037599</c:v>
                </c:pt>
                <c:pt idx="7">
                  <c:v>0.31105935934479201</c:v>
                </c:pt>
                <c:pt idx="8">
                  <c:v>0.43521683029013197</c:v>
                </c:pt>
                <c:pt idx="9">
                  <c:v>0.40745784372072402</c:v>
                </c:pt>
                <c:pt idx="10">
                  <c:v>0.28706262026055401</c:v>
                </c:pt>
                <c:pt idx="11">
                  <c:v>0.14790248637936801</c:v>
                </c:pt>
                <c:pt idx="12">
                  <c:v>8.6529455063855495E-2</c:v>
                </c:pt>
                <c:pt idx="13">
                  <c:v>0.108316556958961</c:v>
                </c:pt>
                <c:pt idx="14">
                  <c:v>0.115225984883788</c:v>
                </c:pt>
                <c:pt idx="15">
                  <c:v>8.7757707993148595E-2</c:v>
                </c:pt>
                <c:pt idx="16">
                  <c:v>6.3653679077931305E-2</c:v>
                </c:pt>
                <c:pt idx="17">
                  <c:v>9.1417510094777193E-2</c:v>
                </c:pt>
                <c:pt idx="18">
                  <c:v>0.124305404014581</c:v>
                </c:pt>
                <c:pt idx="19">
                  <c:v>0.13512561821281199</c:v>
                </c:pt>
                <c:pt idx="20">
                  <c:v>0.12288261848889601</c:v>
                </c:pt>
                <c:pt idx="21">
                  <c:v>9.8218740976718094E-2</c:v>
                </c:pt>
                <c:pt idx="22">
                  <c:v>7.7013239796382998E-2</c:v>
                </c:pt>
                <c:pt idx="23">
                  <c:v>6.9997539648025006E-2</c:v>
                </c:pt>
                <c:pt idx="24">
                  <c:v>7.0785317547061105E-2</c:v>
                </c:pt>
                <c:pt idx="25">
                  <c:v>7.0753924100748697E-2</c:v>
                </c:pt>
                <c:pt idx="26">
                  <c:v>7.2273567481822606E-2</c:v>
                </c:pt>
                <c:pt idx="27">
                  <c:v>7.9417707286647293E-2</c:v>
                </c:pt>
                <c:pt idx="28">
                  <c:v>8.8692371875953996E-2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21-4051-B2AB-034A2030F31F}"/>
            </c:ext>
          </c:extLst>
        </c:ser>
        <c:ser>
          <c:idx val="1"/>
          <c:order val="2"/>
          <c:tx>
            <c:v>ϵ = 0.05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comparisons'!$B$13:$AD$13</c:f>
              <c:numCache>
                <c:formatCode>General</c:formatCode>
                <c:ptCount val="29"/>
                <c:pt idx="0">
                  <c:v>1.5048528675820001</c:v>
                </c:pt>
                <c:pt idx="1">
                  <c:v>1.3306272834598101</c:v>
                </c:pt>
                <c:pt idx="2">
                  <c:v>1.0727239026114901</c:v>
                </c:pt>
                <c:pt idx="3">
                  <c:v>0.77095315564070499</c:v>
                </c:pt>
                <c:pt idx="4">
                  <c:v>0.46875644105631697</c:v>
                </c:pt>
                <c:pt idx="5">
                  <c:v>0.205660960156898</c:v>
                </c:pt>
                <c:pt idx="6">
                  <c:v>3.1221416696792299E-2</c:v>
                </c:pt>
                <c:pt idx="7">
                  <c:v>0.124036128575397</c:v>
                </c:pt>
                <c:pt idx="8">
                  <c:v>0.16964590528978701</c:v>
                </c:pt>
                <c:pt idx="9">
                  <c:v>0.157524408473356</c:v>
                </c:pt>
                <c:pt idx="10">
                  <c:v>0.111037372143692</c:v>
                </c:pt>
                <c:pt idx="11">
                  <c:v>5.7400422472365403E-2</c:v>
                </c:pt>
                <c:pt idx="12">
                  <c:v>3.4014450251652999E-2</c:v>
                </c:pt>
                <c:pt idx="13">
                  <c:v>4.84107150571043E-2</c:v>
                </c:pt>
                <c:pt idx="14">
                  <c:v>5.3151064018003499E-2</c:v>
                </c:pt>
                <c:pt idx="15">
                  <c:v>4.4346271374759903E-2</c:v>
                </c:pt>
                <c:pt idx="16">
                  <c:v>3.5319146215256399E-2</c:v>
                </c:pt>
                <c:pt idx="17">
                  <c:v>3.9622706266641203E-2</c:v>
                </c:pt>
                <c:pt idx="18">
                  <c:v>4.9998294311749798E-2</c:v>
                </c:pt>
                <c:pt idx="19">
                  <c:v>5.4237413369956501E-2</c:v>
                </c:pt>
                <c:pt idx="20">
                  <c:v>5.0845312906740402E-2</c:v>
                </c:pt>
                <c:pt idx="21">
                  <c:v>4.3259836942817702E-2</c:v>
                </c:pt>
                <c:pt idx="22">
                  <c:v>3.6666933757562803E-2</c:v>
                </c:pt>
                <c:pt idx="23">
                  <c:v>3.4288327433909402E-2</c:v>
                </c:pt>
                <c:pt idx="24">
                  <c:v>3.4019947055398202E-2</c:v>
                </c:pt>
                <c:pt idx="25">
                  <c:v>3.40357790775749E-2</c:v>
                </c:pt>
                <c:pt idx="26">
                  <c:v>3.4771830281760098E-2</c:v>
                </c:pt>
                <c:pt idx="27">
                  <c:v>3.7021648345423298E-2</c:v>
                </c:pt>
                <c:pt idx="28">
                  <c:v>3.9796296375923801E-2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21-4051-B2AB-034A2030F31F}"/>
            </c:ext>
          </c:extLst>
        </c:ser>
        <c:ser>
          <c:idx val="2"/>
          <c:order val="3"/>
          <c:tx>
            <c:v>ϵ = 0.01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comparisons'!$B$14:$AD$14</c:f>
              <c:numCache>
                <c:formatCode>General</c:formatCode>
                <c:ptCount val="29"/>
                <c:pt idx="0">
                  <c:v>5.8309719075428097E-2</c:v>
                </c:pt>
                <c:pt idx="1">
                  <c:v>5.2510871933548101E-2</c:v>
                </c:pt>
                <c:pt idx="2">
                  <c:v>4.4428905901797697E-2</c:v>
                </c:pt>
                <c:pt idx="3">
                  <c:v>3.5872207162517898E-2</c:v>
                </c:pt>
                <c:pt idx="4">
                  <c:v>2.8882679392554102E-2</c:v>
                </c:pt>
                <c:pt idx="5">
                  <c:v>2.4938866123963101E-2</c:v>
                </c:pt>
                <c:pt idx="6">
                  <c:v>2.37727698165308E-2</c:v>
                </c:pt>
                <c:pt idx="7">
                  <c:v>2.4265083392322102E-2</c:v>
                </c:pt>
                <c:pt idx="8">
                  <c:v>2.4711326077593899E-2</c:v>
                </c:pt>
                <c:pt idx="9">
                  <c:v>2.45922572403009E-2</c:v>
                </c:pt>
                <c:pt idx="10">
                  <c:v>2.4194103123259598E-2</c:v>
                </c:pt>
                <c:pt idx="11">
                  <c:v>2.3922056627874499E-2</c:v>
                </c:pt>
                <c:pt idx="12">
                  <c:v>2.3917869031873599E-2</c:v>
                </c:pt>
                <c:pt idx="13">
                  <c:v>2.4002663747583301E-2</c:v>
                </c:pt>
                <c:pt idx="14">
                  <c:v>2.4027378389587101E-2</c:v>
                </c:pt>
                <c:pt idx="15">
                  <c:v>2.3988676189189099E-2</c:v>
                </c:pt>
                <c:pt idx="16">
                  <c:v>2.3939867784402599E-2</c:v>
                </c:pt>
                <c:pt idx="17">
                  <c:v>2.39225310232964E-2</c:v>
                </c:pt>
                <c:pt idx="18">
                  <c:v>2.3929488469873399E-2</c:v>
                </c:pt>
                <c:pt idx="19">
                  <c:v>2.39335691471439E-2</c:v>
                </c:pt>
                <c:pt idx="20">
                  <c:v>2.3917962322281099E-2</c:v>
                </c:pt>
                <c:pt idx="21">
                  <c:v>2.38953216599244E-2</c:v>
                </c:pt>
                <c:pt idx="22">
                  <c:v>2.3882757093715099E-2</c:v>
                </c:pt>
                <c:pt idx="23">
                  <c:v>2.3882855768162702E-2</c:v>
                </c:pt>
                <c:pt idx="24">
                  <c:v>2.3884789275478002E-2</c:v>
                </c:pt>
                <c:pt idx="25">
                  <c:v>2.38829678087835E-2</c:v>
                </c:pt>
                <c:pt idx="26">
                  <c:v>2.3880576366879899E-2</c:v>
                </c:pt>
                <c:pt idx="27">
                  <c:v>2.38823748531873E-2</c:v>
                </c:pt>
                <c:pt idx="28">
                  <c:v>2.3887588129703499E-2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21-4051-B2AB-034A2030F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485200"/>
        <c:axId val="444484544"/>
      </c:scatterChart>
      <c:valAx>
        <c:axId val="44448520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N</a:t>
                </a:r>
                <a:endParaRPr lang="en-GB" sz="400">
                  <a:effectLst/>
                </a:endParaRPr>
              </a:p>
            </c:rich>
          </c:tx>
          <c:layout>
            <c:manualLayout>
              <c:xMode val="edge"/>
              <c:yMode val="edge"/>
              <c:x val="0.53642935258092739"/>
              <c:y val="0.828332604257801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84544"/>
        <c:crossesAt val="1.0000000000000002E-2"/>
        <c:crossBetween val="midCat"/>
      </c:valAx>
      <c:valAx>
        <c:axId val="4444845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Solution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8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Mean correction errors over oscillation count  RSWEs, </a:t>
            </a:r>
            <a:r>
              <a:rPr lang="el-GR" sz="1400" b="0" i="0" u="none" strike="noStrike" baseline="0">
                <a:effectLst/>
              </a:rPr>
              <a:t>Δ</a:t>
            </a:r>
            <a:r>
              <a:rPr lang="en-GB"/>
              <a:t>t = 0.1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ϵ = 0.5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comparisons'!$B$3:$AD$3</c:f>
              <c:numCache>
                <c:formatCode>0.00E+00</c:formatCode>
                <c:ptCount val="29"/>
                <c:pt idx="0">
                  <c:v>5.7418205406906297</c:v>
                </c:pt>
                <c:pt idx="1">
                  <c:v>5.1466188642010504</c:v>
                </c:pt>
                <c:pt idx="2">
                  <c:v>4.1655836433316704</c:v>
                </c:pt>
                <c:pt idx="3">
                  <c:v>3.0570562425557202</c:v>
                </c:pt>
                <c:pt idx="4">
                  <c:v>1.9843362333296799</c:v>
                </c:pt>
                <c:pt idx="5">
                  <c:v>1.0499779733874901</c:v>
                </c:pt>
                <c:pt idx="6">
                  <c:v>0.35202024460975301</c:v>
                </c:pt>
                <c:pt idx="7">
                  <c:v>0.18622448891662799</c:v>
                </c:pt>
                <c:pt idx="8">
                  <c:v>0.38207095286285803</c:v>
                </c:pt>
                <c:pt idx="9">
                  <c:v>0.39731717809560801</c:v>
                </c:pt>
                <c:pt idx="10">
                  <c:v>0.27883582132076001</c:v>
                </c:pt>
                <c:pt idx="11">
                  <c:v>0.113314609624052</c:v>
                </c:pt>
                <c:pt idx="12">
                  <c:v>3.9831510320913498E-2</c:v>
                </c:pt>
                <c:pt idx="13">
                  <c:v>0.11516244031117399</c:v>
                </c:pt>
                <c:pt idx="14">
                  <c:v>0.12750438621136601</c:v>
                </c:pt>
                <c:pt idx="15">
                  <c:v>8.7530379443633705E-2</c:v>
                </c:pt>
                <c:pt idx="16">
                  <c:v>2.9630305061445601E-2</c:v>
                </c:pt>
                <c:pt idx="17">
                  <c:v>6.5410957691558094E-2</c:v>
                </c:pt>
                <c:pt idx="18">
                  <c:v>0.110177779457964</c:v>
                </c:pt>
                <c:pt idx="19">
                  <c:v>0.117865629798083</c:v>
                </c:pt>
                <c:pt idx="20">
                  <c:v>9.0889206660441701E-2</c:v>
                </c:pt>
                <c:pt idx="21">
                  <c:v>4.6319229593399097E-2</c:v>
                </c:pt>
                <c:pt idx="22">
                  <c:v>2.3473542956288399E-2</c:v>
                </c:pt>
                <c:pt idx="23">
                  <c:v>4.9642548477521801E-2</c:v>
                </c:pt>
                <c:pt idx="24">
                  <c:v>6.3257998101146601E-2</c:v>
                </c:pt>
                <c:pt idx="25">
                  <c:v>5.7053843318645298E-2</c:v>
                </c:pt>
                <c:pt idx="26">
                  <c:v>3.7703990373268902E-2</c:v>
                </c:pt>
                <c:pt idx="27">
                  <c:v>2.29774437587047E-2</c:v>
                </c:pt>
                <c:pt idx="28">
                  <c:v>3.20692789864582E-2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2A-471B-967A-55399B90A381}"/>
            </c:ext>
          </c:extLst>
        </c:ser>
        <c:ser>
          <c:idx val="0"/>
          <c:order val="1"/>
          <c:tx>
            <c:v>ϵ = 0.1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comparisons'!$B$4:$AD$4</c:f>
              <c:numCache>
                <c:formatCode>0.00E+00</c:formatCode>
                <c:ptCount val="29"/>
                <c:pt idx="0">
                  <c:v>5.1115187157433999</c:v>
                </c:pt>
                <c:pt idx="1">
                  <c:v>4.50831265960168</c:v>
                </c:pt>
                <c:pt idx="2">
                  <c:v>3.5949938848679102</c:v>
                </c:pt>
                <c:pt idx="3">
                  <c:v>2.5744096681881401</c:v>
                </c:pt>
                <c:pt idx="4">
                  <c:v>1.59720948494673</c:v>
                </c:pt>
                <c:pt idx="5">
                  <c:v>0.76431315231799102</c:v>
                </c:pt>
                <c:pt idx="6">
                  <c:v>0.22153402615038201</c:v>
                </c:pt>
                <c:pt idx="7">
                  <c:v>0.32538526238524301</c:v>
                </c:pt>
                <c:pt idx="8">
                  <c:v>0.48364031169562199</c:v>
                </c:pt>
                <c:pt idx="9">
                  <c:v>0.44998798031984999</c:v>
                </c:pt>
                <c:pt idx="10">
                  <c:v>0.29755306135399601</c:v>
                </c:pt>
                <c:pt idx="11">
                  <c:v>0.11736074434258099</c:v>
                </c:pt>
                <c:pt idx="12">
                  <c:v>7.8717452845956798E-2</c:v>
                </c:pt>
                <c:pt idx="13">
                  <c:v>0.14800000727877499</c:v>
                </c:pt>
                <c:pt idx="14">
                  <c:v>0.16398314432102801</c:v>
                </c:pt>
                <c:pt idx="15">
                  <c:v>0.12300379248092901</c:v>
                </c:pt>
                <c:pt idx="16">
                  <c:v>5.2062182363666602E-2</c:v>
                </c:pt>
                <c:pt idx="17">
                  <c:v>4.0321214984565999E-2</c:v>
                </c:pt>
                <c:pt idx="18">
                  <c:v>8.5431572802831507E-2</c:v>
                </c:pt>
                <c:pt idx="19">
                  <c:v>0.100350328821131</c:v>
                </c:pt>
                <c:pt idx="20">
                  <c:v>8.3734303032745094E-2</c:v>
                </c:pt>
                <c:pt idx="21">
                  <c:v>4.89186626312689E-2</c:v>
                </c:pt>
                <c:pt idx="22">
                  <c:v>2.4944346026909401E-2</c:v>
                </c:pt>
                <c:pt idx="23">
                  <c:v>3.9450547679081301E-2</c:v>
                </c:pt>
                <c:pt idx="24">
                  <c:v>5.0928601233715703E-2</c:v>
                </c:pt>
                <c:pt idx="25">
                  <c:v>4.6326480483986299E-2</c:v>
                </c:pt>
                <c:pt idx="26">
                  <c:v>3.2900675922666003E-2</c:v>
                </c:pt>
                <c:pt idx="27">
                  <c:v>2.71640062503463E-2</c:v>
                </c:pt>
                <c:pt idx="28">
                  <c:v>3.5639830960685299E-2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2A-471B-967A-55399B90A381}"/>
            </c:ext>
          </c:extLst>
        </c:ser>
        <c:ser>
          <c:idx val="1"/>
          <c:order val="2"/>
          <c:tx>
            <c:v>ϵ = 0.05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comparisons'!$B$5:$AD$5</c:f>
              <c:numCache>
                <c:formatCode>0.00E+00</c:formatCode>
                <c:ptCount val="29"/>
                <c:pt idx="0">
                  <c:v>4.0651866681720801</c:v>
                </c:pt>
                <c:pt idx="1">
                  <c:v>3.5763620280301698</c:v>
                </c:pt>
                <c:pt idx="2">
                  <c:v>2.86532132425685</c:v>
                </c:pt>
                <c:pt idx="3">
                  <c:v>2.05481619057689</c:v>
                </c:pt>
                <c:pt idx="4">
                  <c:v>1.2587748490649999</c:v>
                </c:pt>
                <c:pt idx="5">
                  <c:v>0.57116693768668103</c:v>
                </c:pt>
                <c:pt idx="6">
                  <c:v>0.13209789944995201</c:v>
                </c:pt>
                <c:pt idx="7">
                  <c:v>0.29930016674903398</c:v>
                </c:pt>
                <c:pt idx="8">
                  <c:v>0.42202969394522999</c:v>
                </c:pt>
                <c:pt idx="9">
                  <c:v>0.38955060341028902</c:v>
                </c:pt>
                <c:pt idx="10">
                  <c:v>0.263317183960533</c:v>
                </c:pt>
                <c:pt idx="11">
                  <c:v>0.11499660066489301</c:v>
                </c:pt>
                <c:pt idx="12">
                  <c:v>6.1874048619420002E-2</c:v>
                </c:pt>
                <c:pt idx="13">
                  <c:v>0.113474430344656</c:v>
                </c:pt>
                <c:pt idx="14">
                  <c:v>0.12685367631309499</c:v>
                </c:pt>
                <c:pt idx="15">
                  <c:v>9.4273407831899497E-2</c:v>
                </c:pt>
                <c:pt idx="16">
                  <c:v>4.2870759584123598E-2</c:v>
                </c:pt>
                <c:pt idx="17">
                  <c:v>5.2423417340601797E-2</c:v>
                </c:pt>
                <c:pt idx="18">
                  <c:v>8.8849901655733199E-2</c:v>
                </c:pt>
                <c:pt idx="19">
                  <c:v>0.101740683136851</c:v>
                </c:pt>
                <c:pt idx="20">
                  <c:v>8.9668757167722907E-2</c:v>
                </c:pt>
                <c:pt idx="21">
                  <c:v>6.3246253237789707E-2</c:v>
                </c:pt>
                <c:pt idx="22">
                  <c:v>3.9843934508113202E-2</c:v>
                </c:pt>
                <c:pt idx="23">
                  <c:v>3.7390713541898601E-2</c:v>
                </c:pt>
                <c:pt idx="24">
                  <c:v>4.1935893425834501E-2</c:v>
                </c:pt>
                <c:pt idx="25">
                  <c:v>4.0241877018071803E-2</c:v>
                </c:pt>
                <c:pt idx="26">
                  <c:v>3.6980514670220503E-2</c:v>
                </c:pt>
                <c:pt idx="27">
                  <c:v>4.2112944450798398E-2</c:v>
                </c:pt>
                <c:pt idx="28">
                  <c:v>5.1936252718024302E-2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2A-471B-967A-55399B90A381}"/>
            </c:ext>
          </c:extLst>
        </c:ser>
        <c:ser>
          <c:idx val="2"/>
          <c:order val="3"/>
          <c:tx>
            <c:v>ϵ = 0.01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comparisons'!$B$6:$AD$6</c:f>
              <c:numCache>
                <c:formatCode>0.00E+00</c:formatCode>
                <c:ptCount val="29"/>
                <c:pt idx="0">
                  <c:v>0.13209596236680099</c:v>
                </c:pt>
                <c:pt idx="1">
                  <c:v>0.11686729970590699</c:v>
                </c:pt>
                <c:pt idx="2">
                  <c:v>9.5026387049183897E-2</c:v>
                </c:pt>
                <c:pt idx="3">
                  <c:v>7.0382338170656797E-2</c:v>
                </c:pt>
                <c:pt idx="4">
                  <c:v>4.70238488082238E-2</c:v>
                </c:pt>
                <c:pt idx="5">
                  <c:v>2.89948689715448E-2</c:v>
                </c:pt>
                <c:pt idx="6">
                  <c:v>2.0219344601798101E-2</c:v>
                </c:pt>
                <c:pt idx="7">
                  <c:v>2.0806780617611199E-2</c:v>
                </c:pt>
                <c:pt idx="8">
                  <c:v>2.2469374132102801E-2</c:v>
                </c:pt>
                <c:pt idx="9">
                  <c:v>2.18832278132782E-2</c:v>
                </c:pt>
                <c:pt idx="10">
                  <c:v>2.02487388429415E-2</c:v>
                </c:pt>
                <c:pt idx="11">
                  <c:v>1.9452631058963901E-2</c:v>
                </c:pt>
                <c:pt idx="12">
                  <c:v>1.9930590714689101E-2</c:v>
                </c:pt>
                <c:pt idx="13">
                  <c:v>2.05689809653073E-2</c:v>
                </c:pt>
                <c:pt idx="14">
                  <c:v>2.06496943262626E-2</c:v>
                </c:pt>
                <c:pt idx="15">
                  <c:v>2.0201821496834901E-2</c:v>
                </c:pt>
                <c:pt idx="16">
                  <c:v>1.9688871339519499E-2</c:v>
                </c:pt>
                <c:pt idx="17">
                  <c:v>1.9421746701089499E-2</c:v>
                </c:pt>
                <c:pt idx="18">
                  <c:v>1.9368124995017302E-2</c:v>
                </c:pt>
                <c:pt idx="19">
                  <c:v>1.93391258168263E-2</c:v>
                </c:pt>
                <c:pt idx="20">
                  <c:v>1.92789244692388E-2</c:v>
                </c:pt>
                <c:pt idx="21">
                  <c:v>1.92729353386694E-2</c:v>
                </c:pt>
                <c:pt idx="22">
                  <c:v>1.9383228153468601E-2</c:v>
                </c:pt>
                <c:pt idx="23">
                  <c:v>1.9540600695560899E-2</c:v>
                </c:pt>
                <c:pt idx="24">
                  <c:v>1.96273944022923E-2</c:v>
                </c:pt>
                <c:pt idx="25">
                  <c:v>1.9595512595573801E-2</c:v>
                </c:pt>
                <c:pt idx="26">
                  <c:v>1.94899505504997E-2</c:v>
                </c:pt>
                <c:pt idx="27">
                  <c:v>1.9387643660942699E-2</c:v>
                </c:pt>
                <c:pt idx="28">
                  <c:v>1.93360373057293E-2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2A-471B-967A-55399B90A381}"/>
            </c:ext>
          </c:extLst>
        </c:ser>
        <c:ser>
          <c:idx val="4"/>
          <c:order val="4"/>
          <c:tx>
            <c:v>ϵ = 0.001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comparisons'!$B$2:$T$2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'all comparisons'!$B$7:$T$7</c:f>
              <c:numCache>
                <c:formatCode>0.00E+00</c:formatCode>
                <c:ptCount val="19"/>
                <c:pt idx="0">
                  <c:v>5.2667999610878802E-3</c:v>
                </c:pt>
                <c:pt idx="1">
                  <c:v>4.8113966639886799E-3</c:v>
                </c:pt>
                <c:pt idx="2">
                  <c:v>4.2157030723789001E-3</c:v>
                </c:pt>
                <c:pt idx="3">
                  <c:v>3.6322352503690902E-3</c:v>
                </c:pt>
                <c:pt idx="4">
                  <c:v>3.1909364031095701E-3</c:v>
                </c:pt>
                <c:pt idx="5">
                  <c:v>2.95280112431512E-3</c:v>
                </c:pt>
                <c:pt idx="6">
                  <c:v>2.8916268011071802E-3</c:v>
                </c:pt>
                <c:pt idx="7">
                  <c:v>2.9064409263301E-3</c:v>
                </c:pt>
                <c:pt idx="8">
                  <c:v>2.9231778357276098E-3</c:v>
                </c:pt>
                <c:pt idx="9">
                  <c:v>2.9224987497133898E-3</c:v>
                </c:pt>
                <c:pt idx="10">
                  <c:v>2.9170894089518701E-3</c:v>
                </c:pt>
                <c:pt idx="11">
                  <c:v>2.9178051488496699E-3</c:v>
                </c:pt>
                <c:pt idx="12">
                  <c:v>2.9246310558298499E-3</c:v>
                </c:pt>
                <c:pt idx="13">
                  <c:v>2.9303330315972498E-3</c:v>
                </c:pt>
                <c:pt idx="14">
                  <c:v>2.9314362480984601E-3</c:v>
                </c:pt>
                <c:pt idx="15">
                  <c:v>2.9295921380288201E-3</c:v>
                </c:pt>
                <c:pt idx="16">
                  <c:v>2.9268548139379401E-3</c:v>
                </c:pt>
                <c:pt idx="17">
                  <c:v>2.9239480095143598E-3</c:v>
                </c:pt>
                <c:pt idx="18">
                  <c:v>2.9213469496061602E-3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22A-471B-967A-55399B90A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72048"/>
        <c:axId val="416477296"/>
      </c:scatterChart>
      <c:valAx>
        <c:axId val="416472048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</a:t>
                </a:r>
              </a:p>
            </c:rich>
          </c:tx>
          <c:layout>
            <c:manualLayout>
              <c:xMode val="edge"/>
              <c:yMode val="edge"/>
              <c:x val="0.50287379702537183"/>
              <c:y val="0.79592519685039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77296"/>
        <c:crossesAt val="1.0000000000000002E-3"/>
        <c:crossBetween val="midCat"/>
      </c:valAx>
      <c:valAx>
        <c:axId val="416477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S</a:t>
                </a:r>
                <a:r>
                  <a:rPr lang="en-GB"/>
                  <a:t>olution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72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Mean correction errors over oscillation count  RSWEs, </a:t>
            </a:r>
            <a:r>
              <a:rPr lang="el-GR" sz="1400" b="0" i="0" baseline="0">
                <a:effectLst/>
              </a:rPr>
              <a:t>Δ</a:t>
            </a:r>
            <a:r>
              <a:rPr lang="en-GB" sz="1400" b="0" i="0" baseline="0">
                <a:effectLst/>
              </a:rPr>
              <a:t>t = 0.2</a:t>
            </a:r>
            <a:endParaRPr lang="en-GB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ϵ = 0.5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comparisons'!$B$11:$AD$11</c:f>
              <c:numCache>
                <c:formatCode>General</c:formatCode>
                <c:ptCount val="29"/>
                <c:pt idx="0">
                  <c:v>5.6695059597448498</c:v>
                </c:pt>
                <c:pt idx="1">
                  <c:v>5.0800575617731898</c:v>
                </c:pt>
                <c:pt idx="2">
                  <c:v>4.1051697628146098</c:v>
                </c:pt>
                <c:pt idx="3">
                  <c:v>3.0117521376553902</c:v>
                </c:pt>
                <c:pt idx="4">
                  <c:v>1.9534378436637301</c:v>
                </c:pt>
                <c:pt idx="5">
                  <c:v>1.03150610470647</c:v>
                </c:pt>
                <c:pt idx="6">
                  <c:v>0.348156397369007</c:v>
                </c:pt>
                <c:pt idx="7">
                  <c:v>0.19360724096791401</c:v>
                </c:pt>
                <c:pt idx="8">
                  <c:v>0.38418809012073801</c:v>
                </c:pt>
                <c:pt idx="9">
                  <c:v>0.39896296379776103</c:v>
                </c:pt>
                <c:pt idx="10">
                  <c:v>0.28334919577481199</c:v>
                </c:pt>
                <c:pt idx="11">
                  <c:v>0.124922754461524</c:v>
                </c:pt>
                <c:pt idx="12">
                  <c:v>6.0418911382801102E-2</c:v>
                </c:pt>
                <c:pt idx="13">
                  <c:v>0.11575560957929899</c:v>
                </c:pt>
                <c:pt idx="14">
                  <c:v>0.126075076819049</c:v>
                </c:pt>
                <c:pt idx="15">
                  <c:v>8.9929038053980601E-2</c:v>
                </c:pt>
                <c:pt idx="16">
                  <c:v>5.3366452837475403E-2</c:v>
                </c:pt>
                <c:pt idx="17">
                  <c:v>8.2785352158816702E-2</c:v>
                </c:pt>
                <c:pt idx="18">
                  <c:v>0.12232562587859901</c:v>
                </c:pt>
                <c:pt idx="19">
                  <c:v>0.129053568720916</c:v>
                </c:pt>
                <c:pt idx="20">
                  <c:v>0.10378582352362201</c:v>
                </c:pt>
                <c:pt idx="21">
                  <c:v>6.6342963765988305E-2</c:v>
                </c:pt>
                <c:pt idx="22">
                  <c:v>5.1387181908290697E-2</c:v>
                </c:pt>
                <c:pt idx="23">
                  <c:v>6.3896794186213204E-2</c:v>
                </c:pt>
                <c:pt idx="24">
                  <c:v>7.3478698123004504E-2</c:v>
                </c:pt>
                <c:pt idx="25">
                  <c:v>6.9003278767807999E-2</c:v>
                </c:pt>
                <c:pt idx="26">
                  <c:v>5.71979593232773E-2</c:v>
                </c:pt>
                <c:pt idx="27">
                  <c:v>5.1777291433137397E-2</c:v>
                </c:pt>
                <c:pt idx="28">
                  <c:v>5.72784288296058E-2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26-4217-98CE-7F7A0B82E459}"/>
            </c:ext>
          </c:extLst>
        </c:ser>
        <c:ser>
          <c:idx val="0"/>
          <c:order val="1"/>
          <c:tx>
            <c:v>ϵ = 0.1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comparisons'!$B$12:$AD$12</c:f>
              <c:numCache>
                <c:formatCode>General</c:formatCode>
                <c:ptCount val="29"/>
                <c:pt idx="0">
                  <c:v>4.0804408721893202</c:v>
                </c:pt>
                <c:pt idx="1">
                  <c:v>3.5893852597531501</c:v>
                </c:pt>
                <c:pt idx="2">
                  <c:v>2.8750652701765298</c:v>
                </c:pt>
                <c:pt idx="3">
                  <c:v>2.0592741273560602</c:v>
                </c:pt>
                <c:pt idx="4">
                  <c:v>1.26182864804373</c:v>
                </c:pt>
                <c:pt idx="5">
                  <c:v>0.57773351471025003</c:v>
                </c:pt>
                <c:pt idx="6">
                  <c:v>0.16403076961037599</c:v>
                </c:pt>
                <c:pt idx="7">
                  <c:v>0.31105935934479201</c:v>
                </c:pt>
                <c:pt idx="8">
                  <c:v>0.43521683029013197</c:v>
                </c:pt>
                <c:pt idx="9">
                  <c:v>0.40745784372072402</c:v>
                </c:pt>
                <c:pt idx="10">
                  <c:v>0.28706262026055401</c:v>
                </c:pt>
                <c:pt idx="11">
                  <c:v>0.14790248637936801</c:v>
                </c:pt>
                <c:pt idx="12">
                  <c:v>8.6529455063855495E-2</c:v>
                </c:pt>
                <c:pt idx="13">
                  <c:v>0.108316556958961</c:v>
                </c:pt>
                <c:pt idx="14">
                  <c:v>0.115225984883788</c:v>
                </c:pt>
                <c:pt idx="15">
                  <c:v>8.7757707993148595E-2</c:v>
                </c:pt>
                <c:pt idx="16">
                  <c:v>6.3653679077931305E-2</c:v>
                </c:pt>
                <c:pt idx="17">
                  <c:v>9.1417510094777193E-2</c:v>
                </c:pt>
                <c:pt idx="18">
                  <c:v>0.124305404014581</c:v>
                </c:pt>
                <c:pt idx="19">
                  <c:v>0.13512561821281199</c:v>
                </c:pt>
                <c:pt idx="20">
                  <c:v>0.12288261848889601</c:v>
                </c:pt>
                <c:pt idx="21">
                  <c:v>9.8218740976718094E-2</c:v>
                </c:pt>
                <c:pt idx="22">
                  <c:v>7.7013239796382998E-2</c:v>
                </c:pt>
                <c:pt idx="23">
                  <c:v>6.9997539648025006E-2</c:v>
                </c:pt>
                <c:pt idx="24">
                  <c:v>7.0785317547061105E-2</c:v>
                </c:pt>
                <c:pt idx="25">
                  <c:v>7.0753924100748697E-2</c:v>
                </c:pt>
                <c:pt idx="26">
                  <c:v>7.2273567481822606E-2</c:v>
                </c:pt>
                <c:pt idx="27">
                  <c:v>7.9417707286647293E-2</c:v>
                </c:pt>
                <c:pt idx="28">
                  <c:v>8.8692371875953996E-2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26-4217-98CE-7F7A0B82E459}"/>
            </c:ext>
          </c:extLst>
        </c:ser>
        <c:ser>
          <c:idx val="1"/>
          <c:order val="2"/>
          <c:tx>
            <c:v>ϵ = 0.05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comparisons'!$B$13:$AD$13</c:f>
              <c:numCache>
                <c:formatCode>General</c:formatCode>
                <c:ptCount val="29"/>
                <c:pt idx="0">
                  <c:v>1.5048528675820001</c:v>
                </c:pt>
                <c:pt idx="1">
                  <c:v>1.3306272834598101</c:v>
                </c:pt>
                <c:pt idx="2">
                  <c:v>1.0727239026114901</c:v>
                </c:pt>
                <c:pt idx="3">
                  <c:v>0.77095315564070499</c:v>
                </c:pt>
                <c:pt idx="4">
                  <c:v>0.46875644105631697</c:v>
                </c:pt>
                <c:pt idx="5">
                  <c:v>0.205660960156898</c:v>
                </c:pt>
                <c:pt idx="6">
                  <c:v>3.1221416696792299E-2</c:v>
                </c:pt>
                <c:pt idx="7">
                  <c:v>0.124036128575397</c:v>
                </c:pt>
                <c:pt idx="8">
                  <c:v>0.16964590528978701</c:v>
                </c:pt>
                <c:pt idx="9">
                  <c:v>0.157524408473356</c:v>
                </c:pt>
                <c:pt idx="10">
                  <c:v>0.111037372143692</c:v>
                </c:pt>
                <c:pt idx="11">
                  <c:v>5.7400422472365403E-2</c:v>
                </c:pt>
                <c:pt idx="12">
                  <c:v>3.4014450251652999E-2</c:v>
                </c:pt>
                <c:pt idx="13">
                  <c:v>4.84107150571043E-2</c:v>
                </c:pt>
                <c:pt idx="14">
                  <c:v>5.3151064018003499E-2</c:v>
                </c:pt>
                <c:pt idx="15">
                  <c:v>4.4346271374759903E-2</c:v>
                </c:pt>
                <c:pt idx="16">
                  <c:v>3.5319146215256399E-2</c:v>
                </c:pt>
                <c:pt idx="17">
                  <c:v>3.9622706266641203E-2</c:v>
                </c:pt>
                <c:pt idx="18">
                  <c:v>4.9998294311749798E-2</c:v>
                </c:pt>
                <c:pt idx="19">
                  <c:v>5.4237413369956501E-2</c:v>
                </c:pt>
                <c:pt idx="20">
                  <c:v>5.0845312906740402E-2</c:v>
                </c:pt>
                <c:pt idx="21">
                  <c:v>4.3259836942817702E-2</c:v>
                </c:pt>
                <c:pt idx="22">
                  <c:v>3.6666933757562803E-2</c:v>
                </c:pt>
                <c:pt idx="23">
                  <c:v>3.4288327433909402E-2</c:v>
                </c:pt>
                <c:pt idx="24">
                  <c:v>3.4019947055398202E-2</c:v>
                </c:pt>
                <c:pt idx="25">
                  <c:v>3.40357790775749E-2</c:v>
                </c:pt>
                <c:pt idx="26">
                  <c:v>3.4771830281760098E-2</c:v>
                </c:pt>
                <c:pt idx="27">
                  <c:v>3.7021648345423298E-2</c:v>
                </c:pt>
                <c:pt idx="28">
                  <c:v>3.9796296375923801E-2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26-4217-98CE-7F7A0B82E459}"/>
            </c:ext>
          </c:extLst>
        </c:ser>
        <c:ser>
          <c:idx val="2"/>
          <c:order val="3"/>
          <c:tx>
            <c:v>ϵ = 0.01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comparisons'!$B$14:$AD$14</c:f>
              <c:numCache>
                <c:formatCode>General</c:formatCode>
                <c:ptCount val="29"/>
                <c:pt idx="0">
                  <c:v>5.8309719075428097E-2</c:v>
                </c:pt>
                <c:pt idx="1">
                  <c:v>5.2510871933548101E-2</c:v>
                </c:pt>
                <c:pt idx="2">
                  <c:v>4.4428905901797697E-2</c:v>
                </c:pt>
                <c:pt idx="3">
                  <c:v>3.5872207162517898E-2</c:v>
                </c:pt>
                <c:pt idx="4">
                  <c:v>2.8882679392554102E-2</c:v>
                </c:pt>
                <c:pt idx="5">
                  <c:v>2.4938866123963101E-2</c:v>
                </c:pt>
                <c:pt idx="6">
                  <c:v>2.37727698165308E-2</c:v>
                </c:pt>
                <c:pt idx="7">
                  <c:v>2.4265083392322102E-2</c:v>
                </c:pt>
                <c:pt idx="8">
                  <c:v>2.4711326077593899E-2</c:v>
                </c:pt>
                <c:pt idx="9">
                  <c:v>2.45922572403009E-2</c:v>
                </c:pt>
                <c:pt idx="10">
                  <c:v>2.4194103123259598E-2</c:v>
                </c:pt>
                <c:pt idx="11">
                  <c:v>2.3922056627874499E-2</c:v>
                </c:pt>
                <c:pt idx="12">
                  <c:v>2.3917869031873599E-2</c:v>
                </c:pt>
                <c:pt idx="13">
                  <c:v>2.4002663747583301E-2</c:v>
                </c:pt>
                <c:pt idx="14">
                  <c:v>2.4027378389587101E-2</c:v>
                </c:pt>
                <c:pt idx="15">
                  <c:v>2.3988676189189099E-2</c:v>
                </c:pt>
                <c:pt idx="16">
                  <c:v>2.3939867784402599E-2</c:v>
                </c:pt>
                <c:pt idx="17">
                  <c:v>2.39225310232964E-2</c:v>
                </c:pt>
                <c:pt idx="18">
                  <c:v>2.3929488469873399E-2</c:v>
                </c:pt>
                <c:pt idx="19">
                  <c:v>2.39335691471439E-2</c:v>
                </c:pt>
                <c:pt idx="20">
                  <c:v>2.3917962322281099E-2</c:v>
                </c:pt>
                <c:pt idx="21">
                  <c:v>2.38953216599244E-2</c:v>
                </c:pt>
                <c:pt idx="22">
                  <c:v>2.3882757093715099E-2</c:v>
                </c:pt>
                <c:pt idx="23">
                  <c:v>2.3882855768162702E-2</c:v>
                </c:pt>
                <c:pt idx="24">
                  <c:v>2.3884789275478002E-2</c:v>
                </c:pt>
                <c:pt idx="25">
                  <c:v>2.38829678087835E-2</c:v>
                </c:pt>
                <c:pt idx="26">
                  <c:v>2.3880576366879899E-2</c:v>
                </c:pt>
                <c:pt idx="27">
                  <c:v>2.38823748531873E-2</c:v>
                </c:pt>
                <c:pt idx="28">
                  <c:v>2.3887588129703499E-2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26-4217-98CE-7F7A0B82E459}"/>
            </c:ext>
          </c:extLst>
        </c:ser>
        <c:ser>
          <c:idx val="4"/>
          <c:order val="4"/>
          <c:tx>
            <c:v>ϵ = 0.001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comparisons'!$B$15:$AD$15</c:f>
              <c:numCache>
                <c:formatCode>General</c:formatCode>
                <c:ptCount val="29"/>
                <c:pt idx="0">
                  <c:v>3.29199413137113E-3</c:v>
                </c:pt>
                <c:pt idx="1">
                  <c:v>3.0053245784428602E-3</c:v>
                </c:pt>
                <c:pt idx="2">
                  <c:v>2.68951334083967E-3</c:v>
                </c:pt>
                <c:pt idx="3">
                  <c:v>2.45253909122067E-3</c:v>
                </c:pt>
                <c:pt idx="4">
                  <c:v>2.3345168803885802E-3</c:v>
                </c:pt>
                <c:pt idx="5">
                  <c:v>2.3276138518578998E-3</c:v>
                </c:pt>
                <c:pt idx="6">
                  <c:v>2.3809642503420502E-3</c:v>
                </c:pt>
                <c:pt idx="7">
                  <c:v>2.4325059712645299E-3</c:v>
                </c:pt>
                <c:pt idx="8">
                  <c:v>2.4571469774885301E-3</c:v>
                </c:pt>
                <c:pt idx="9">
                  <c:v>2.4529725011008699E-3</c:v>
                </c:pt>
                <c:pt idx="10">
                  <c:v>2.4350848336108098E-3</c:v>
                </c:pt>
                <c:pt idx="11">
                  <c:v>2.4178340175376998E-3</c:v>
                </c:pt>
                <c:pt idx="12">
                  <c:v>2.40656187538071E-3</c:v>
                </c:pt>
                <c:pt idx="13">
                  <c:v>2.4013842013679999E-3</c:v>
                </c:pt>
                <c:pt idx="14">
                  <c:v>2.4015446476843999E-3</c:v>
                </c:pt>
                <c:pt idx="15">
                  <c:v>2.4056922125494399E-3</c:v>
                </c:pt>
                <c:pt idx="16">
                  <c:v>2.4114974458973402E-3</c:v>
                </c:pt>
                <c:pt idx="17">
                  <c:v>2.41619150955928E-3</c:v>
                </c:pt>
                <c:pt idx="18">
                  <c:v>2.4187488917840299E-3</c:v>
                </c:pt>
                <c:pt idx="19">
                  <c:v>2.4191915790692901E-3</c:v>
                </c:pt>
                <c:pt idx="20">
                  <c:v>2.4174738829134202E-3</c:v>
                </c:pt>
                <c:pt idx="21">
                  <c:v>2.4138637677828898E-3</c:v>
                </c:pt>
                <c:pt idx="22">
                  <c:v>2.40942209746845E-3</c:v>
                </c:pt>
                <c:pt idx="23">
                  <c:v>2.4058052187011401E-3</c:v>
                </c:pt>
                <c:pt idx="24">
                  <c:v>2.40416427867827E-3</c:v>
                </c:pt>
                <c:pt idx="25">
                  <c:v>2.4047489164379398E-3</c:v>
                </c:pt>
                <c:pt idx="26">
                  <c:v>2.40683881718224E-3</c:v>
                </c:pt>
                <c:pt idx="27">
                  <c:v>2.4093186851099398E-3</c:v>
                </c:pt>
                <c:pt idx="28">
                  <c:v>2.4112944463816001E-3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C26-4217-98CE-7F7A0B82E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485200"/>
        <c:axId val="444484544"/>
      </c:scatterChart>
      <c:valAx>
        <c:axId val="44448520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N</a:t>
                </a:r>
                <a:endParaRPr lang="en-GB" sz="400">
                  <a:effectLst/>
                </a:endParaRPr>
              </a:p>
            </c:rich>
          </c:tx>
          <c:layout>
            <c:manualLayout>
              <c:xMode val="edge"/>
              <c:yMode val="edge"/>
              <c:x val="0.53642935258092739"/>
              <c:y val="0.828332604257801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84544"/>
        <c:crossesAt val="1.0000000000000002E-3"/>
        <c:crossBetween val="midCat"/>
      </c:valAx>
      <c:valAx>
        <c:axId val="4444845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Solution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8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Mean correction errors over oscillation count  RSWEs, </a:t>
            </a:r>
            <a:r>
              <a:rPr lang="el-GR" sz="1400" b="0" i="0" baseline="0">
                <a:effectLst/>
              </a:rPr>
              <a:t>Δ</a:t>
            </a:r>
            <a:r>
              <a:rPr lang="en-GB" sz="1400" b="0" i="0" baseline="0">
                <a:effectLst/>
              </a:rPr>
              <a:t>t = 0.2</a:t>
            </a:r>
            <a:endParaRPr lang="en-GB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1"/>
          <c:tx>
            <c:v>ϵ = 0.1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comparisons'!$B$12:$AD$12</c:f>
              <c:numCache>
                <c:formatCode>General</c:formatCode>
                <c:ptCount val="29"/>
                <c:pt idx="0">
                  <c:v>4.0804408721893202</c:v>
                </c:pt>
                <c:pt idx="1">
                  <c:v>3.5893852597531501</c:v>
                </c:pt>
                <c:pt idx="2">
                  <c:v>2.8750652701765298</c:v>
                </c:pt>
                <c:pt idx="3">
                  <c:v>2.0592741273560602</c:v>
                </c:pt>
                <c:pt idx="4">
                  <c:v>1.26182864804373</c:v>
                </c:pt>
                <c:pt idx="5">
                  <c:v>0.57773351471025003</c:v>
                </c:pt>
                <c:pt idx="6">
                  <c:v>0.16403076961037599</c:v>
                </c:pt>
                <c:pt idx="7">
                  <c:v>0.31105935934479201</c:v>
                </c:pt>
                <c:pt idx="8">
                  <c:v>0.43521683029013197</c:v>
                </c:pt>
                <c:pt idx="9">
                  <c:v>0.40745784372072402</c:v>
                </c:pt>
                <c:pt idx="10">
                  <c:v>0.28706262026055401</c:v>
                </c:pt>
                <c:pt idx="11">
                  <c:v>0.14790248637936801</c:v>
                </c:pt>
                <c:pt idx="12">
                  <c:v>8.6529455063855495E-2</c:v>
                </c:pt>
                <c:pt idx="13">
                  <c:v>0.108316556958961</c:v>
                </c:pt>
                <c:pt idx="14">
                  <c:v>0.115225984883788</c:v>
                </c:pt>
                <c:pt idx="15">
                  <c:v>8.7757707993148595E-2</c:v>
                </c:pt>
                <c:pt idx="16">
                  <c:v>6.3653679077931305E-2</c:v>
                </c:pt>
                <c:pt idx="17">
                  <c:v>9.1417510094777193E-2</c:v>
                </c:pt>
                <c:pt idx="18">
                  <c:v>0.124305404014581</c:v>
                </c:pt>
                <c:pt idx="19">
                  <c:v>0.13512561821281199</c:v>
                </c:pt>
                <c:pt idx="20">
                  <c:v>0.12288261848889601</c:v>
                </c:pt>
                <c:pt idx="21">
                  <c:v>9.8218740976718094E-2</c:v>
                </c:pt>
                <c:pt idx="22">
                  <c:v>7.7013239796382998E-2</c:v>
                </c:pt>
                <c:pt idx="23">
                  <c:v>6.9997539648025006E-2</c:v>
                </c:pt>
                <c:pt idx="24">
                  <c:v>7.0785317547061105E-2</c:v>
                </c:pt>
                <c:pt idx="25">
                  <c:v>7.0753924100748697E-2</c:v>
                </c:pt>
                <c:pt idx="26">
                  <c:v>7.2273567481822606E-2</c:v>
                </c:pt>
                <c:pt idx="27">
                  <c:v>7.9417707286647293E-2</c:v>
                </c:pt>
                <c:pt idx="28">
                  <c:v>8.8692371875953996E-2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2B-4189-9CFE-768655F094D2}"/>
            </c:ext>
          </c:extLst>
        </c:ser>
        <c:ser>
          <c:idx val="1"/>
          <c:order val="2"/>
          <c:tx>
            <c:v>ϵ = 0.05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comparisons'!$B$13:$AD$13</c:f>
              <c:numCache>
                <c:formatCode>General</c:formatCode>
                <c:ptCount val="29"/>
                <c:pt idx="0">
                  <c:v>1.5048528675820001</c:v>
                </c:pt>
                <c:pt idx="1">
                  <c:v>1.3306272834598101</c:v>
                </c:pt>
                <c:pt idx="2">
                  <c:v>1.0727239026114901</c:v>
                </c:pt>
                <c:pt idx="3">
                  <c:v>0.77095315564070499</c:v>
                </c:pt>
                <c:pt idx="4">
                  <c:v>0.46875644105631697</c:v>
                </c:pt>
                <c:pt idx="5">
                  <c:v>0.205660960156898</c:v>
                </c:pt>
                <c:pt idx="6">
                  <c:v>3.1221416696792299E-2</c:v>
                </c:pt>
                <c:pt idx="7">
                  <c:v>0.124036128575397</c:v>
                </c:pt>
                <c:pt idx="8">
                  <c:v>0.16964590528978701</c:v>
                </c:pt>
                <c:pt idx="9">
                  <c:v>0.157524408473356</c:v>
                </c:pt>
                <c:pt idx="10">
                  <c:v>0.111037372143692</c:v>
                </c:pt>
                <c:pt idx="11">
                  <c:v>5.7400422472365403E-2</c:v>
                </c:pt>
                <c:pt idx="12">
                  <c:v>3.4014450251652999E-2</c:v>
                </c:pt>
                <c:pt idx="13">
                  <c:v>4.84107150571043E-2</c:v>
                </c:pt>
                <c:pt idx="14">
                  <c:v>5.3151064018003499E-2</c:v>
                </c:pt>
                <c:pt idx="15">
                  <c:v>4.4346271374759903E-2</c:v>
                </c:pt>
                <c:pt idx="16">
                  <c:v>3.5319146215256399E-2</c:v>
                </c:pt>
                <c:pt idx="17">
                  <c:v>3.9622706266641203E-2</c:v>
                </c:pt>
                <c:pt idx="18">
                  <c:v>4.9998294311749798E-2</c:v>
                </c:pt>
                <c:pt idx="19">
                  <c:v>5.4237413369956501E-2</c:v>
                </c:pt>
                <c:pt idx="20">
                  <c:v>5.0845312906740402E-2</c:v>
                </c:pt>
                <c:pt idx="21">
                  <c:v>4.3259836942817702E-2</c:v>
                </c:pt>
                <c:pt idx="22">
                  <c:v>3.6666933757562803E-2</c:v>
                </c:pt>
                <c:pt idx="23">
                  <c:v>3.4288327433909402E-2</c:v>
                </c:pt>
                <c:pt idx="24">
                  <c:v>3.4019947055398202E-2</c:v>
                </c:pt>
                <c:pt idx="25">
                  <c:v>3.40357790775749E-2</c:v>
                </c:pt>
                <c:pt idx="26">
                  <c:v>3.4771830281760098E-2</c:v>
                </c:pt>
                <c:pt idx="27">
                  <c:v>3.7021648345423298E-2</c:v>
                </c:pt>
                <c:pt idx="28">
                  <c:v>3.9796296375923801E-2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2B-4189-9CFE-768655F094D2}"/>
            </c:ext>
          </c:extLst>
        </c:ser>
        <c:ser>
          <c:idx val="2"/>
          <c:order val="3"/>
          <c:tx>
            <c:v>ϵ = 0.01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comparisons'!$B$14:$AD$14</c:f>
              <c:numCache>
                <c:formatCode>General</c:formatCode>
                <c:ptCount val="29"/>
                <c:pt idx="0">
                  <c:v>5.8309719075428097E-2</c:v>
                </c:pt>
                <c:pt idx="1">
                  <c:v>5.2510871933548101E-2</c:v>
                </c:pt>
                <c:pt idx="2">
                  <c:v>4.4428905901797697E-2</c:v>
                </c:pt>
                <c:pt idx="3">
                  <c:v>3.5872207162517898E-2</c:v>
                </c:pt>
                <c:pt idx="4">
                  <c:v>2.8882679392554102E-2</c:v>
                </c:pt>
                <c:pt idx="5">
                  <c:v>2.4938866123963101E-2</c:v>
                </c:pt>
                <c:pt idx="6">
                  <c:v>2.37727698165308E-2</c:v>
                </c:pt>
                <c:pt idx="7">
                  <c:v>2.4265083392322102E-2</c:v>
                </c:pt>
                <c:pt idx="8">
                  <c:v>2.4711326077593899E-2</c:v>
                </c:pt>
                <c:pt idx="9">
                  <c:v>2.45922572403009E-2</c:v>
                </c:pt>
                <c:pt idx="10">
                  <c:v>2.4194103123259598E-2</c:v>
                </c:pt>
                <c:pt idx="11">
                  <c:v>2.3922056627874499E-2</c:v>
                </c:pt>
                <c:pt idx="12">
                  <c:v>2.3917869031873599E-2</c:v>
                </c:pt>
                <c:pt idx="13">
                  <c:v>2.4002663747583301E-2</c:v>
                </c:pt>
                <c:pt idx="14">
                  <c:v>2.4027378389587101E-2</c:v>
                </c:pt>
                <c:pt idx="15">
                  <c:v>2.3988676189189099E-2</c:v>
                </c:pt>
                <c:pt idx="16">
                  <c:v>2.3939867784402599E-2</c:v>
                </c:pt>
                <c:pt idx="17">
                  <c:v>2.39225310232964E-2</c:v>
                </c:pt>
                <c:pt idx="18">
                  <c:v>2.3929488469873399E-2</c:v>
                </c:pt>
                <c:pt idx="19">
                  <c:v>2.39335691471439E-2</c:v>
                </c:pt>
                <c:pt idx="20">
                  <c:v>2.3917962322281099E-2</c:v>
                </c:pt>
                <c:pt idx="21">
                  <c:v>2.38953216599244E-2</c:v>
                </c:pt>
                <c:pt idx="22">
                  <c:v>2.3882757093715099E-2</c:v>
                </c:pt>
                <c:pt idx="23">
                  <c:v>2.3882855768162702E-2</c:v>
                </c:pt>
                <c:pt idx="24">
                  <c:v>2.3884789275478002E-2</c:v>
                </c:pt>
                <c:pt idx="25">
                  <c:v>2.38829678087835E-2</c:v>
                </c:pt>
                <c:pt idx="26">
                  <c:v>2.3880576366879899E-2</c:v>
                </c:pt>
                <c:pt idx="27">
                  <c:v>2.38823748531873E-2</c:v>
                </c:pt>
                <c:pt idx="28">
                  <c:v>2.3887588129703499E-2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2B-4189-9CFE-768655F09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485200"/>
        <c:axId val="44448454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ϵ = 0.5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'all comparisons'!$B$2:$AD$2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'all comparisons'!$B$11:$AD$11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5.6695059597448498</c:v>
                      </c:pt>
                      <c:pt idx="1">
                        <c:v>5.0800575617731898</c:v>
                      </c:pt>
                      <c:pt idx="2">
                        <c:v>4.1051697628146098</c:v>
                      </c:pt>
                      <c:pt idx="3">
                        <c:v>3.0117521376553902</c:v>
                      </c:pt>
                      <c:pt idx="4">
                        <c:v>1.9534378436637301</c:v>
                      </c:pt>
                      <c:pt idx="5">
                        <c:v>1.03150610470647</c:v>
                      </c:pt>
                      <c:pt idx="6">
                        <c:v>0.348156397369007</c:v>
                      </c:pt>
                      <c:pt idx="7">
                        <c:v>0.19360724096791401</c:v>
                      </c:pt>
                      <c:pt idx="8">
                        <c:v>0.38418809012073801</c:v>
                      </c:pt>
                      <c:pt idx="9">
                        <c:v>0.39896296379776103</c:v>
                      </c:pt>
                      <c:pt idx="10">
                        <c:v>0.28334919577481199</c:v>
                      </c:pt>
                      <c:pt idx="11">
                        <c:v>0.124922754461524</c:v>
                      </c:pt>
                      <c:pt idx="12">
                        <c:v>6.0418911382801102E-2</c:v>
                      </c:pt>
                      <c:pt idx="13">
                        <c:v>0.11575560957929899</c:v>
                      </c:pt>
                      <c:pt idx="14">
                        <c:v>0.126075076819049</c:v>
                      </c:pt>
                      <c:pt idx="15">
                        <c:v>8.9929038053980601E-2</c:v>
                      </c:pt>
                      <c:pt idx="16">
                        <c:v>5.3366452837475403E-2</c:v>
                      </c:pt>
                      <c:pt idx="17">
                        <c:v>8.2785352158816702E-2</c:v>
                      </c:pt>
                      <c:pt idx="18">
                        <c:v>0.12232562587859901</c:v>
                      </c:pt>
                      <c:pt idx="19">
                        <c:v>0.129053568720916</c:v>
                      </c:pt>
                      <c:pt idx="20">
                        <c:v>0.10378582352362201</c:v>
                      </c:pt>
                      <c:pt idx="21">
                        <c:v>6.6342963765988305E-2</c:v>
                      </c:pt>
                      <c:pt idx="22">
                        <c:v>5.1387181908290697E-2</c:v>
                      </c:pt>
                      <c:pt idx="23">
                        <c:v>6.3896794186213204E-2</c:v>
                      </c:pt>
                      <c:pt idx="24">
                        <c:v>7.3478698123004504E-2</c:v>
                      </c:pt>
                      <c:pt idx="25">
                        <c:v>6.9003278767807999E-2</c:v>
                      </c:pt>
                      <c:pt idx="26">
                        <c:v>5.71979593232773E-2</c:v>
                      </c:pt>
                      <c:pt idx="27">
                        <c:v>5.1777291433137397E-2</c:v>
                      </c:pt>
                      <c:pt idx="28">
                        <c:v>5.72784288296058E-2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F2B-4189-9CFE-768655F094D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ϵ = 0.001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comparisons'!$B$2:$AD$2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comparisons'!$B$15:$AD$15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3.29199413137113E-3</c:v>
                      </c:pt>
                      <c:pt idx="1">
                        <c:v>3.0053245784428602E-3</c:v>
                      </c:pt>
                      <c:pt idx="2">
                        <c:v>2.68951334083967E-3</c:v>
                      </c:pt>
                      <c:pt idx="3">
                        <c:v>2.45253909122067E-3</c:v>
                      </c:pt>
                      <c:pt idx="4">
                        <c:v>2.3345168803885802E-3</c:v>
                      </c:pt>
                      <c:pt idx="5">
                        <c:v>2.3276138518578998E-3</c:v>
                      </c:pt>
                      <c:pt idx="6">
                        <c:v>2.3809642503420502E-3</c:v>
                      </c:pt>
                      <c:pt idx="7">
                        <c:v>2.4325059712645299E-3</c:v>
                      </c:pt>
                      <c:pt idx="8">
                        <c:v>2.4571469774885301E-3</c:v>
                      </c:pt>
                      <c:pt idx="9">
                        <c:v>2.4529725011008699E-3</c:v>
                      </c:pt>
                      <c:pt idx="10">
                        <c:v>2.4350848336108098E-3</c:v>
                      </c:pt>
                      <c:pt idx="11">
                        <c:v>2.4178340175376998E-3</c:v>
                      </c:pt>
                      <c:pt idx="12">
                        <c:v>2.40656187538071E-3</c:v>
                      </c:pt>
                      <c:pt idx="13">
                        <c:v>2.4013842013679999E-3</c:v>
                      </c:pt>
                      <c:pt idx="14">
                        <c:v>2.4015446476843999E-3</c:v>
                      </c:pt>
                      <c:pt idx="15">
                        <c:v>2.4056922125494399E-3</c:v>
                      </c:pt>
                      <c:pt idx="16">
                        <c:v>2.4114974458973402E-3</c:v>
                      </c:pt>
                      <c:pt idx="17">
                        <c:v>2.41619150955928E-3</c:v>
                      </c:pt>
                      <c:pt idx="18">
                        <c:v>2.4187488917840299E-3</c:v>
                      </c:pt>
                      <c:pt idx="19">
                        <c:v>2.4191915790692901E-3</c:v>
                      </c:pt>
                      <c:pt idx="20">
                        <c:v>2.4174738829134202E-3</c:v>
                      </c:pt>
                      <c:pt idx="21">
                        <c:v>2.4138637677828898E-3</c:v>
                      </c:pt>
                      <c:pt idx="22">
                        <c:v>2.40942209746845E-3</c:v>
                      </c:pt>
                      <c:pt idx="23">
                        <c:v>2.4058052187011401E-3</c:v>
                      </c:pt>
                      <c:pt idx="24">
                        <c:v>2.40416427867827E-3</c:v>
                      </c:pt>
                      <c:pt idx="25">
                        <c:v>2.4047489164379398E-3</c:v>
                      </c:pt>
                      <c:pt idx="26">
                        <c:v>2.40683881718224E-3</c:v>
                      </c:pt>
                      <c:pt idx="27">
                        <c:v>2.4093186851099398E-3</c:v>
                      </c:pt>
                      <c:pt idx="28">
                        <c:v>2.4112944463816001E-3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F2B-4189-9CFE-768655F094D2}"/>
                  </c:ext>
                </c:extLst>
              </c15:ser>
            </c15:filteredScatterSeries>
          </c:ext>
        </c:extLst>
      </c:scatterChart>
      <c:valAx>
        <c:axId val="44448520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baseline="0">
                    <a:effectLst/>
                  </a:rPr>
                  <a:t>N</a:t>
                </a:r>
                <a:endParaRPr lang="en-GB" sz="700">
                  <a:effectLst/>
                </a:endParaRPr>
              </a:p>
            </c:rich>
          </c:tx>
          <c:layout>
            <c:manualLayout>
              <c:xMode val="edge"/>
              <c:yMode val="edge"/>
              <c:x val="0.54476268591426069"/>
              <c:y val="0.78203630796150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84544"/>
        <c:crossesAt val="1.0000000000000002E-3"/>
        <c:crossBetween val="midCat"/>
      </c:valAx>
      <c:valAx>
        <c:axId val="4444845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Solution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8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500" b="0" i="0" baseline="0">
                <a:effectLst/>
              </a:rPr>
              <a:t>Mean correction errors over oscillation count RSWEs, </a:t>
            </a:r>
            <a:r>
              <a:rPr lang="el-GR" sz="1500" b="0" i="0" baseline="0">
                <a:effectLst/>
              </a:rPr>
              <a:t>Δ</a:t>
            </a:r>
            <a:r>
              <a:rPr lang="en-GB" sz="1500" b="0" i="0" baseline="0">
                <a:effectLst/>
              </a:rPr>
              <a:t>t = 0.2</a:t>
            </a:r>
            <a:endParaRPr lang="en-GB" sz="1500">
              <a:effectLst/>
            </a:endParaRPr>
          </a:p>
        </c:rich>
      </c:tx>
      <c:layout>
        <c:manualLayout>
          <c:xMode val="edge"/>
          <c:yMode val="edge"/>
          <c:x val="0.1437499999999999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706920384951881"/>
          <c:y val="0.22509259259259259"/>
          <c:w val="0.78608573928258962"/>
          <c:h val="0.47031568970545351"/>
        </c:manualLayout>
      </c:layout>
      <c:scatterChart>
        <c:scatterStyle val="smoothMarker"/>
        <c:varyColors val="0"/>
        <c:ser>
          <c:idx val="0"/>
          <c:order val="1"/>
          <c:tx>
            <c:v>ϵ = 0.1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comparisons'!$B$12:$AD$12</c:f>
              <c:numCache>
                <c:formatCode>General</c:formatCode>
                <c:ptCount val="29"/>
                <c:pt idx="0">
                  <c:v>4.0804408721893202</c:v>
                </c:pt>
                <c:pt idx="1">
                  <c:v>3.5893852597531501</c:v>
                </c:pt>
                <c:pt idx="2">
                  <c:v>2.8750652701765298</c:v>
                </c:pt>
                <c:pt idx="3">
                  <c:v>2.0592741273560602</c:v>
                </c:pt>
                <c:pt idx="4">
                  <c:v>1.26182864804373</c:v>
                </c:pt>
                <c:pt idx="5">
                  <c:v>0.57773351471025003</c:v>
                </c:pt>
                <c:pt idx="6">
                  <c:v>0.16403076961037599</c:v>
                </c:pt>
                <c:pt idx="7">
                  <c:v>0.31105935934479201</c:v>
                </c:pt>
                <c:pt idx="8">
                  <c:v>0.43521683029013197</c:v>
                </c:pt>
                <c:pt idx="9">
                  <c:v>0.40745784372072402</c:v>
                </c:pt>
                <c:pt idx="10">
                  <c:v>0.28706262026055401</c:v>
                </c:pt>
                <c:pt idx="11">
                  <c:v>0.14790248637936801</c:v>
                </c:pt>
                <c:pt idx="12">
                  <c:v>8.6529455063855495E-2</c:v>
                </c:pt>
                <c:pt idx="13">
                  <c:v>0.108316556958961</c:v>
                </c:pt>
                <c:pt idx="14">
                  <c:v>0.115225984883788</c:v>
                </c:pt>
                <c:pt idx="15">
                  <c:v>8.7757707993148595E-2</c:v>
                </c:pt>
                <c:pt idx="16">
                  <c:v>6.3653679077931305E-2</c:v>
                </c:pt>
                <c:pt idx="17">
                  <c:v>9.1417510094777193E-2</c:v>
                </c:pt>
                <c:pt idx="18">
                  <c:v>0.124305404014581</c:v>
                </c:pt>
                <c:pt idx="19">
                  <c:v>0.13512561821281199</c:v>
                </c:pt>
                <c:pt idx="20">
                  <c:v>0.12288261848889601</c:v>
                </c:pt>
                <c:pt idx="21">
                  <c:v>9.8218740976718094E-2</c:v>
                </c:pt>
                <c:pt idx="22">
                  <c:v>7.7013239796382998E-2</c:v>
                </c:pt>
                <c:pt idx="23">
                  <c:v>6.9997539648025006E-2</c:v>
                </c:pt>
                <c:pt idx="24">
                  <c:v>7.0785317547061105E-2</c:v>
                </c:pt>
                <c:pt idx="25">
                  <c:v>7.0753924100748697E-2</c:v>
                </c:pt>
                <c:pt idx="26">
                  <c:v>7.2273567481822606E-2</c:v>
                </c:pt>
                <c:pt idx="27">
                  <c:v>7.9417707286647293E-2</c:v>
                </c:pt>
                <c:pt idx="28">
                  <c:v>8.8692371875953996E-2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0E-4D61-9D30-43CB885ADCC2}"/>
            </c:ext>
          </c:extLst>
        </c:ser>
        <c:ser>
          <c:idx val="1"/>
          <c:order val="2"/>
          <c:tx>
            <c:v>ϵ = 0.05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comparisons'!$B$13:$AD$13</c:f>
              <c:numCache>
                <c:formatCode>General</c:formatCode>
                <c:ptCount val="29"/>
                <c:pt idx="0">
                  <c:v>1.5048528675820001</c:v>
                </c:pt>
                <c:pt idx="1">
                  <c:v>1.3306272834598101</c:v>
                </c:pt>
                <c:pt idx="2">
                  <c:v>1.0727239026114901</c:v>
                </c:pt>
                <c:pt idx="3">
                  <c:v>0.77095315564070499</c:v>
                </c:pt>
                <c:pt idx="4">
                  <c:v>0.46875644105631697</c:v>
                </c:pt>
                <c:pt idx="5">
                  <c:v>0.205660960156898</c:v>
                </c:pt>
                <c:pt idx="6">
                  <c:v>3.1221416696792299E-2</c:v>
                </c:pt>
                <c:pt idx="7">
                  <c:v>0.124036128575397</c:v>
                </c:pt>
                <c:pt idx="8">
                  <c:v>0.16964590528978701</c:v>
                </c:pt>
                <c:pt idx="9">
                  <c:v>0.157524408473356</c:v>
                </c:pt>
                <c:pt idx="10">
                  <c:v>0.111037372143692</c:v>
                </c:pt>
                <c:pt idx="11">
                  <c:v>5.7400422472365403E-2</c:v>
                </c:pt>
                <c:pt idx="12">
                  <c:v>3.4014450251652999E-2</c:v>
                </c:pt>
                <c:pt idx="13">
                  <c:v>4.84107150571043E-2</c:v>
                </c:pt>
                <c:pt idx="14">
                  <c:v>5.3151064018003499E-2</c:v>
                </c:pt>
                <c:pt idx="15">
                  <c:v>4.4346271374759903E-2</c:v>
                </c:pt>
                <c:pt idx="16">
                  <c:v>3.5319146215256399E-2</c:v>
                </c:pt>
                <c:pt idx="17">
                  <c:v>3.9622706266641203E-2</c:v>
                </c:pt>
                <c:pt idx="18">
                  <c:v>4.9998294311749798E-2</c:v>
                </c:pt>
                <c:pt idx="19">
                  <c:v>5.4237413369956501E-2</c:v>
                </c:pt>
                <c:pt idx="20">
                  <c:v>5.0845312906740402E-2</c:v>
                </c:pt>
                <c:pt idx="21">
                  <c:v>4.3259836942817702E-2</c:v>
                </c:pt>
                <c:pt idx="22">
                  <c:v>3.6666933757562803E-2</c:v>
                </c:pt>
                <c:pt idx="23">
                  <c:v>3.4288327433909402E-2</c:v>
                </c:pt>
                <c:pt idx="24">
                  <c:v>3.4019947055398202E-2</c:v>
                </c:pt>
                <c:pt idx="25">
                  <c:v>3.40357790775749E-2</c:v>
                </c:pt>
                <c:pt idx="26">
                  <c:v>3.4771830281760098E-2</c:v>
                </c:pt>
                <c:pt idx="27">
                  <c:v>3.7021648345423298E-2</c:v>
                </c:pt>
                <c:pt idx="28">
                  <c:v>3.9796296375923801E-2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0E-4D61-9D30-43CB885ADCC2}"/>
            </c:ext>
          </c:extLst>
        </c:ser>
        <c:ser>
          <c:idx val="2"/>
          <c:order val="3"/>
          <c:tx>
            <c:v>ϵ = 0.01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'all comparisons'!$B$2:$AD$2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'all comparisons'!$B$14:$AD$14</c:f>
              <c:numCache>
                <c:formatCode>General</c:formatCode>
                <c:ptCount val="29"/>
                <c:pt idx="0">
                  <c:v>5.8309719075428097E-2</c:v>
                </c:pt>
                <c:pt idx="1">
                  <c:v>5.2510871933548101E-2</c:v>
                </c:pt>
                <c:pt idx="2">
                  <c:v>4.4428905901797697E-2</c:v>
                </c:pt>
                <c:pt idx="3">
                  <c:v>3.5872207162517898E-2</c:v>
                </c:pt>
                <c:pt idx="4">
                  <c:v>2.8882679392554102E-2</c:v>
                </c:pt>
                <c:pt idx="5">
                  <c:v>2.4938866123963101E-2</c:v>
                </c:pt>
                <c:pt idx="6">
                  <c:v>2.37727698165308E-2</c:v>
                </c:pt>
                <c:pt idx="7">
                  <c:v>2.4265083392322102E-2</c:v>
                </c:pt>
                <c:pt idx="8">
                  <c:v>2.4711326077593899E-2</c:v>
                </c:pt>
                <c:pt idx="9">
                  <c:v>2.45922572403009E-2</c:v>
                </c:pt>
                <c:pt idx="10">
                  <c:v>2.4194103123259598E-2</c:v>
                </c:pt>
                <c:pt idx="11">
                  <c:v>2.3922056627874499E-2</c:v>
                </c:pt>
                <c:pt idx="12">
                  <c:v>2.3917869031873599E-2</c:v>
                </c:pt>
                <c:pt idx="13">
                  <c:v>2.4002663747583301E-2</c:v>
                </c:pt>
                <c:pt idx="14">
                  <c:v>2.4027378389587101E-2</c:v>
                </c:pt>
                <c:pt idx="15">
                  <c:v>2.3988676189189099E-2</c:v>
                </c:pt>
                <c:pt idx="16">
                  <c:v>2.3939867784402599E-2</c:v>
                </c:pt>
                <c:pt idx="17">
                  <c:v>2.39225310232964E-2</c:v>
                </c:pt>
                <c:pt idx="18">
                  <c:v>2.3929488469873399E-2</c:v>
                </c:pt>
                <c:pt idx="19">
                  <c:v>2.39335691471439E-2</c:v>
                </c:pt>
                <c:pt idx="20">
                  <c:v>2.3917962322281099E-2</c:v>
                </c:pt>
                <c:pt idx="21">
                  <c:v>2.38953216599244E-2</c:v>
                </c:pt>
                <c:pt idx="22">
                  <c:v>2.3882757093715099E-2</c:v>
                </c:pt>
                <c:pt idx="23">
                  <c:v>2.3882855768162702E-2</c:v>
                </c:pt>
                <c:pt idx="24">
                  <c:v>2.3884789275478002E-2</c:v>
                </c:pt>
                <c:pt idx="25">
                  <c:v>2.38829678087835E-2</c:v>
                </c:pt>
                <c:pt idx="26">
                  <c:v>2.3880576366879899E-2</c:v>
                </c:pt>
                <c:pt idx="27">
                  <c:v>2.38823748531873E-2</c:v>
                </c:pt>
                <c:pt idx="28">
                  <c:v>2.3887588129703499E-2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0E-4D61-9D30-43CB885AD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485200"/>
        <c:axId val="44448454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ϵ = 0.5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'all comparisons'!$B$2:$AD$2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'all comparisons'!$B$11:$AD$11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5.6695059597448498</c:v>
                      </c:pt>
                      <c:pt idx="1">
                        <c:v>5.0800575617731898</c:v>
                      </c:pt>
                      <c:pt idx="2">
                        <c:v>4.1051697628146098</c:v>
                      </c:pt>
                      <c:pt idx="3">
                        <c:v>3.0117521376553902</c:v>
                      </c:pt>
                      <c:pt idx="4">
                        <c:v>1.9534378436637301</c:v>
                      </c:pt>
                      <c:pt idx="5">
                        <c:v>1.03150610470647</c:v>
                      </c:pt>
                      <c:pt idx="6">
                        <c:v>0.348156397369007</c:v>
                      </c:pt>
                      <c:pt idx="7">
                        <c:v>0.19360724096791401</c:v>
                      </c:pt>
                      <c:pt idx="8">
                        <c:v>0.38418809012073801</c:v>
                      </c:pt>
                      <c:pt idx="9">
                        <c:v>0.39896296379776103</c:v>
                      </c:pt>
                      <c:pt idx="10">
                        <c:v>0.28334919577481199</c:v>
                      </c:pt>
                      <c:pt idx="11">
                        <c:v>0.124922754461524</c:v>
                      </c:pt>
                      <c:pt idx="12">
                        <c:v>6.0418911382801102E-2</c:v>
                      </c:pt>
                      <c:pt idx="13">
                        <c:v>0.11575560957929899</c:v>
                      </c:pt>
                      <c:pt idx="14">
                        <c:v>0.126075076819049</c:v>
                      </c:pt>
                      <c:pt idx="15">
                        <c:v>8.9929038053980601E-2</c:v>
                      </c:pt>
                      <c:pt idx="16">
                        <c:v>5.3366452837475403E-2</c:v>
                      </c:pt>
                      <c:pt idx="17">
                        <c:v>8.2785352158816702E-2</c:v>
                      </c:pt>
                      <c:pt idx="18">
                        <c:v>0.12232562587859901</c:v>
                      </c:pt>
                      <c:pt idx="19">
                        <c:v>0.129053568720916</c:v>
                      </c:pt>
                      <c:pt idx="20">
                        <c:v>0.10378582352362201</c:v>
                      </c:pt>
                      <c:pt idx="21">
                        <c:v>6.6342963765988305E-2</c:v>
                      </c:pt>
                      <c:pt idx="22">
                        <c:v>5.1387181908290697E-2</c:v>
                      </c:pt>
                      <c:pt idx="23">
                        <c:v>6.3896794186213204E-2</c:v>
                      </c:pt>
                      <c:pt idx="24">
                        <c:v>7.3478698123004504E-2</c:v>
                      </c:pt>
                      <c:pt idx="25">
                        <c:v>6.9003278767807999E-2</c:v>
                      </c:pt>
                      <c:pt idx="26">
                        <c:v>5.71979593232773E-2</c:v>
                      </c:pt>
                      <c:pt idx="27">
                        <c:v>5.1777291433137397E-2</c:v>
                      </c:pt>
                      <c:pt idx="28">
                        <c:v>5.72784288296058E-2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B80E-4D61-9D30-43CB885ADCC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ϵ = 0.001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comparisons'!$B$2:$AD$2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'all comparisons'!$B$15:$AD$15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3.29199413137113E-3</c:v>
                      </c:pt>
                      <c:pt idx="1">
                        <c:v>3.0053245784428602E-3</c:v>
                      </c:pt>
                      <c:pt idx="2">
                        <c:v>2.68951334083967E-3</c:v>
                      </c:pt>
                      <c:pt idx="3">
                        <c:v>2.45253909122067E-3</c:v>
                      </c:pt>
                      <c:pt idx="4">
                        <c:v>2.3345168803885802E-3</c:v>
                      </c:pt>
                      <c:pt idx="5">
                        <c:v>2.3276138518578998E-3</c:v>
                      </c:pt>
                      <c:pt idx="6">
                        <c:v>2.3809642503420502E-3</c:v>
                      </c:pt>
                      <c:pt idx="7">
                        <c:v>2.4325059712645299E-3</c:v>
                      </c:pt>
                      <c:pt idx="8">
                        <c:v>2.4571469774885301E-3</c:v>
                      </c:pt>
                      <c:pt idx="9">
                        <c:v>2.4529725011008699E-3</c:v>
                      </c:pt>
                      <c:pt idx="10">
                        <c:v>2.4350848336108098E-3</c:v>
                      </c:pt>
                      <c:pt idx="11">
                        <c:v>2.4178340175376998E-3</c:v>
                      </c:pt>
                      <c:pt idx="12">
                        <c:v>2.40656187538071E-3</c:v>
                      </c:pt>
                      <c:pt idx="13">
                        <c:v>2.4013842013679999E-3</c:v>
                      </c:pt>
                      <c:pt idx="14">
                        <c:v>2.4015446476843999E-3</c:v>
                      </c:pt>
                      <c:pt idx="15">
                        <c:v>2.4056922125494399E-3</c:v>
                      </c:pt>
                      <c:pt idx="16">
                        <c:v>2.4114974458973402E-3</c:v>
                      </c:pt>
                      <c:pt idx="17">
                        <c:v>2.41619150955928E-3</c:v>
                      </c:pt>
                      <c:pt idx="18">
                        <c:v>2.4187488917840299E-3</c:v>
                      </c:pt>
                      <c:pt idx="19">
                        <c:v>2.4191915790692901E-3</c:v>
                      </c:pt>
                      <c:pt idx="20">
                        <c:v>2.4174738829134202E-3</c:v>
                      </c:pt>
                      <c:pt idx="21">
                        <c:v>2.4138637677828898E-3</c:v>
                      </c:pt>
                      <c:pt idx="22">
                        <c:v>2.40942209746845E-3</c:v>
                      </c:pt>
                      <c:pt idx="23">
                        <c:v>2.4058052187011401E-3</c:v>
                      </c:pt>
                      <c:pt idx="24">
                        <c:v>2.40416427867827E-3</c:v>
                      </c:pt>
                      <c:pt idx="25">
                        <c:v>2.4047489164379398E-3</c:v>
                      </c:pt>
                      <c:pt idx="26">
                        <c:v>2.40683881718224E-3</c:v>
                      </c:pt>
                      <c:pt idx="27">
                        <c:v>2.4093186851099398E-3</c:v>
                      </c:pt>
                      <c:pt idx="28">
                        <c:v>2.4112944463816001E-3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0E-4D61-9D30-43CB885ADCC2}"/>
                  </c:ext>
                </c:extLst>
              </c15:ser>
            </c15:filteredScatterSeries>
          </c:ext>
        </c:extLst>
      </c:scatterChart>
      <c:valAx>
        <c:axId val="44448520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0" baseline="0">
                    <a:effectLst/>
                  </a:rPr>
                  <a:t>N</a:t>
                </a:r>
                <a:endParaRPr lang="en-GB" sz="800">
                  <a:effectLst/>
                </a:endParaRPr>
              </a:p>
            </c:rich>
          </c:tx>
          <c:layout>
            <c:manualLayout>
              <c:xMode val="edge"/>
              <c:yMode val="edge"/>
              <c:x val="0.54198490813648292"/>
              <c:y val="0.78203630796150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84544"/>
        <c:crossesAt val="1.0000000000000002E-3"/>
        <c:crossBetween val="midCat"/>
      </c:valAx>
      <c:valAx>
        <c:axId val="4444845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Solution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8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111111111111109"/>
          <c:y val="0.89581692913385846"/>
          <c:w val="0.67333333333333334"/>
          <c:h val="9.4923811606882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Epsilon</a:t>
            </a:r>
            <a:r>
              <a:rPr lang="en-GB" baseline="0"/>
              <a:t> vs etaC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etaC_epsilon_plot!$B$2</c:f>
              <c:strCache>
                <c:ptCount val="1"/>
                <c:pt idx="0">
                  <c:v>Δt = 0.1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etaC_epsilon_plot!$A$3:$A$7</c:f>
              <c:numCache>
                <c:formatCode>General</c:formatCode>
                <c:ptCount val="5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0.01</c:v>
                </c:pt>
                <c:pt idx="4">
                  <c:v>1E-3</c:v>
                </c:pt>
              </c:numCache>
            </c:numRef>
          </c:xVal>
          <c:yVal>
            <c:numRef>
              <c:f>etaC_epsilon_plot!$B$3:$B$7</c:f>
              <c:numCache>
                <c:formatCode>General</c:formatCode>
                <c:ptCount val="5"/>
                <c:pt idx="0">
                  <c:v>14</c:v>
                </c:pt>
                <c:pt idx="1">
                  <c:v>2.2999999999999998</c:v>
                </c:pt>
                <c:pt idx="2">
                  <c:v>1.35</c:v>
                </c:pt>
                <c:pt idx="3">
                  <c:v>0.22</c:v>
                </c:pt>
                <c:pt idx="4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52-4185-9154-38C0EB1F05A2}"/>
            </c:ext>
          </c:extLst>
        </c:ser>
        <c:ser>
          <c:idx val="1"/>
          <c:order val="1"/>
          <c:tx>
            <c:strRef>
              <c:f>etaC_epsilon_plot!$D$2</c:f>
              <c:strCache>
                <c:ptCount val="1"/>
                <c:pt idx="0">
                  <c:v>Δt = 0.2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etaC_epsilon_plot!$A$3:$A$7</c:f>
              <c:numCache>
                <c:formatCode>General</c:formatCode>
                <c:ptCount val="5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0.01</c:v>
                </c:pt>
                <c:pt idx="4">
                  <c:v>1E-3</c:v>
                </c:pt>
              </c:numCache>
            </c:numRef>
          </c:xVal>
          <c:yVal>
            <c:numRef>
              <c:f>etaC_epsilon_plot!$D$3:$D$7</c:f>
              <c:numCache>
                <c:formatCode>General</c:formatCode>
                <c:ptCount val="5"/>
                <c:pt idx="0">
                  <c:v>11.5</c:v>
                </c:pt>
                <c:pt idx="1">
                  <c:v>1.7</c:v>
                </c:pt>
                <c:pt idx="2">
                  <c:v>0.35</c:v>
                </c:pt>
                <c:pt idx="3">
                  <c:v>7.0000000000000007E-2</c:v>
                </c:pt>
                <c:pt idx="4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52-4185-9154-38C0EB1F05A2}"/>
            </c:ext>
          </c:extLst>
        </c:ser>
        <c:ser>
          <c:idx val="2"/>
          <c:order val="2"/>
          <c:tx>
            <c:strRef>
              <c:f>etaC_epsilon_plot!$F$2</c:f>
              <c:strCache>
                <c:ptCount val="1"/>
                <c:pt idx="0">
                  <c:v>Δt = 0.3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etaC_epsilon_plot!$A$3:$A$7</c:f>
              <c:numCache>
                <c:formatCode>General</c:formatCode>
                <c:ptCount val="5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0.01</c:v>
                </c:pt>
                <c:pt idx="4">
                  <c:v>1E-3</c:v>
                </c:pt>
              </c:numCache>
            </c:numRef>
          </c:xVal>
          <c:yVal>
            <c:numRef>
              <c:f>etaC_epsilon_plot!$F$3:$F$7</c:f>
              <c:numCache>
                <c:formatCode>General</c:formatCode>
                <c:ptCount val="5"/>
                <c:pt idx="0">
                  <c:v>8.5</c:v>
                </c:pt>
                <c:pt idx="1">
                  <c:v>1.6</c:v>
                </c:pt>
                <c:pt idx="2">
                  <c:v>1.45</c:v>
                </c:pt>
                <c:pt idx="3">
                  <c:v>0.05</c:v>
                </c:pt>
                <c:pt idx="4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52-4185-9154-38C0EB1F0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051800"/>
        <c:axId val="493054752"/>
      </c:scatterChart>
      <c:valAx>
        <c:axId val="4930518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epsilon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54752"/>
        <c:crossesAt val="1.0000000000000002E-3"/>
        <c:crossBetween val="midCat"/>
      </c:valAx>
      <c:valAx>
        <c:axId val="4930547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etaC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51800"/>
        <c:crossesAt val="1.0000000000000002E-3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Epsilon</a:t>
            </a:r>
            <a:r>
              <a:rPr lang="en-GB" baseline="0"/>
              <a:t> vs etaC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etaC_epsilon_plot!$B$2</c:f>
              <c:strCache>
                <c:ptCount val="1"/>
                <c:pt idx="0">
                  <c:v>Δt = 0.1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etaC_epsilon_plot!$A$3:$A$7</c:f>
              <c:numCache>
                <c:formatCode>General</c:formatCode>
                <c:ptCount val="5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0.01</c:v>
                </c:pt>
                <c:pt idx="4">
                  <c:v>1E-3</c:v>
                </c:pt>
              </c:numCache>
            </c:numRef>
          </c:xVal>
          <c:yVal>
            <c:numRef>
              <c:f>etaC_epsilon_plot!$B$3:$B$7</c:f>
              <c:numCache>
                <c:formatCode>General</c:formatCode>
                <c:ptCount val="5"/>
                <c:pt idx="0">
                  <c:v>14</c:v>
                </c:pt>
                <c:pt idx="1">
                  <c:v>2.2999999999999998</c:v>
                </c:pt>
                <c:pt idx="2">
                  <c:v>1.35</c:v>
                </c:pt>
                <c:pt idx="3">
                  <c:v>0.22</c:v>
                </c:pt>
                <c:pt idx="4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F-46A8-830C-7C5E0EB25A82}"/>
            </c:ext>
          </c:extLst>
        </c:ser>
        <c:ser>
          <c:idx val="3"/>
          <c:order val="1"/>
          <c:tx>
            <c:strRef>
              <c:f>etaC_epsilon_plot!$C$2</c:f>
              <c:strCache>
                <c:ptCount val="1"/>
                <c:pt idx="0">
                  <c:v>dt = 0.15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etaC_epsilon_plot!$A$3:$A$7</c:f>
              <c:numCache>
                <c:formatCode>General</c:formatCode>
                <c:ptCount val="5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0.01</c:v>
                </c:pt>
                <c:pt idx="4">
                  <c:v>1E-3</c:v>
                </c:pt>
              </c:numCache>
            </c:numRef>
          </c:xVal>
          <c:yVal>
            <c:numRef>
              <c:f>etaC_epsilon_plot!$C$3:$C$7</c:f>
              <c:numCache>
                <c:formatCode>General</c:formatCode>
                <c:ptCount val="5"/>
                <c:pt idx="0">
                  <c:v>14</c:v>
                </c:pt>
                <c:pt idx="1">
                  <c:v>1.7</c:v>
                </c:pt>
                <c:pt idx="2">
                  <c:v>0.85</c:v>
                </c:pt>
                <c:pt idx="3">
                  <c:v>0.06</c:v>
                </c:pt>
                <c:pt idx="4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DF-46A8-830C-7C5E0EB25A82}"/>
            </c:ext>
          </c:extLst>
        </c:ser>
        <c:ser>
          <c:idx val="1"/>
          <c:order val="2"/>
          <c:tx>
            <c:strRef>
              <c:f>etaC_epsilon_plot!$D$2</c:f>
              <c:strCache>
                <c:ptCount val="1"/>
                <c:pt idx="0">
                  <c:v>Δt = 0.2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etaC_epsilon_plot!$A$3:$A$7</c:f>
              <c:numCache>
                <c:formatCode>General</c:formatCode>
                <c:ptCount val="5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0.01</c:v>
                </c:pt>
                <c:pt idx="4">
                  <c:v>1E-3</c:v>
                </c:pt>
              </c:numCache>
            </c:numRef>
          </c:xVal>
          <c:yVal>
            <c:numRef>
              <c:f>etaC_epsilon_plot!$D$3:$D$7</c:f>
              <c:numCache>
                <c:formatCode>General</c:formatCode>
                <c:ptCount val="5"/>
                <c:pt idx="0">
                  <c:v>11.5</c:v>
                </c:pt>
                <c:pt idx="1">
                  <c:v>1.7</c:v>
                </c:pt>
                <c:pt idx="2">
                  <c:v>0.35</c:v>
                </c:pt>
                <c:pt idx="3">
                  <c:v>7.0000000000000007E-2</c:v>
                </c:pt>
                <c:pt idx="4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DF-46A8-830C-7C5E0EB25A82}"/>
            </c:ext>
          </c:extLst>
        </c:ser>
        <c:ser>
          <c:idx val="4"/>
          <c:order val="3"/>
          <c:tx>
            <c:strRef>
              <c:f>etaC_epsilon_plot!$E$2</c:f>
              <c:strCache>
                <c:ptCount val="1"/>
                <c:pt idx="0">
                  <c:v>dt=0.25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etaC_epsilon_plot!$A$3:$A$7</c:f>
              <c:numCache>
                <c:formatCode>General</c:formatCode>
                <c:ptCount val="5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0.01</c:v>
                </c:pt>
                <c:pt idx="4">
                  <c:v>1E-3</c:v>
                </c:pt>
              </c:numCache>
            </c:numRef>
          </c:xVal>
          <c:yVal>
            <c:numRef>
              <c:f>etaC_epsilon_plot!$E$3:$E$7</c:f>
              <c:numCache>
                <c:formatCode>General</c:formatCode>
                <c:ptCount val="5"/>
                <c:pt idx="0">
                  <c:v>8.5</c:v>
                </c:pt>
                <c:pt idx="1">
                  <c:v>1.7</c:v>
                </c:pt>
                <c:pt idx="2">
                  <c:v>0.4</c:v>
                </c:pt>
                <c:pt idx="3">
                  <c:v>0.06</c:v>
                </c:pt>
                <c:pt idx="4">
                  <c:v>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DF-46A8-830C-7C5E0EB25A82}"/>
            </c:ext>
          </c:extLst>
        </c:ser>
        <c:ser>
          <c:idx val="2"/>
          <c:order val="4"/>
          <c:tx>
            <c:strRef>
              <c:f>etaC_epsilon_plot!$F$2</c:f>
              <c:strCache>
                <c:ptCount val="1"/>
                <c:pt idx="0">
                  <c:v>Δt = 0.3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etaC_epsilon_plot!$A$3:$A$7</c:f>
              <c:numCache>
                <c:formatCode>General</c:formatCode>
                <c:ptCount val="5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0.01</c:v>
                </c:pt>
                <c:pt idx="4">
                  <c:v>1E-3</c:v>
                </c:pt>
              </c:numCache>
            </c:numRef>
          </c:xVal>
          <c:yVal>
            <c:numRef>
              <c:f>etaC_epsilon_plot!$F$3:$F$7</c:f>
              <c:numCache>
                <c:formatCode>General</c:formatCode>
                <c:ptCount val="5"/>
                <c:pt idx="0">
                  <c:v>8.5</c:v>
                </c:pt>
                <c:pt idx="1">
                  <c:v>1.6</c:v>
                </c:pt>
                <c:pt idx="2">
                  <c:v>1.45</c:v>
                </c:pt>
                <c:pt idx="3">
                  <c:v>0.05</c:v>
                </c:pt>
                <c:pt idx="4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DF-46A8-830C-7C5E0EB25A82}"/>
            </c:ext>
          </c:extLst>
        </c:ser>
        <c:ser>
          <c:idx val="5"/>
          <c:order val="5"/>
          <c:tx>
            <c:strRef>
              <c:f>etaC_epsilon_plot!$G$2</c:f>
              <c:strCache>
                <c:ptCount val="1"/>
                <c:pt idx="0">
                  <c:v>dt=0.35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etaC_epsilon_plot!$A$3:$A$7</c:f>
              <c:numCache>
                <c:formatCode>General</c:formatCode>
                <c:ptCount val="5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0.01</c:v>
                </c:pt>
                <c:pt idx="4">
                  <c:v>1E-3</c:v>
                </c:pt>
              </c:numCache>
            </c:numRef>
          </c:xVal>
          <c:yVal>
            <c:numRef>
              <c:f>etaC_epsilon_plot!$G$3:$G$7</c:f>
              <c:numCache>
                <c:formatCode>General</c:formatCode>
                <c:ptCount val="5"/>
                <c:pt idx="0">
                  <c:v>8.5</c:v>
                </c:pt>
                <c:pt idx="1">
                  <c:v>1.4</c:v>
                </c:pt>
                <c:pt idx="2">
                  <c:v>1.2</c:v>
                </c:pt>
                <c:pt idx="3">
                  <c:v>0.05</c:v>
                </c:pt>
                <c:pt idx="4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DF-46A8-830C-7C5E0EB25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051800"/>
        <c:axId val="493054752"/>
      </c:scatterChart>
      <c:valAx>
        <c:axId val="4930518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epsilon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54752"/>
        <c:crossesAt val="1.0000000000000002E-3"/>
        <c:crossBetween val="midCat"/>
      </c:valAx>
      <c:valAx>
        <c:axId val="4930547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etaC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51800"/>
        <c:crossesAt val="1.0000000000000002E-3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Epsilon vs etaC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etaC_epsilon_plot!$B$10</c:f>
              <c:strCache>
                <c:ptCount val="1"/>
                <c:pt idx="0">
                  <c:v>Δt = 0.1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etaC_epsilon_plot!$B$11:$B$13</c:f>
              <c:numCache>
                <c:formatCode>General</c:formatCode>
                <c:ptCount val="3"/>
                <c:pt idx="0">
                  <c:v>2.2999999999999998</c:v>
                </c:pt>
                <c:pt idx="1">
                  <c:v>0.22</c:v>
                </c:pt>
                <c:pt idx="2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5-4237-9D70-5A05E0F8820D}"/>
            </c:ext>
          </c:extLst>
        </c:ser>
        <c:ser>
          <c:idx val="3"/>
          <c:order val="1"/>
          <c:tx>
            <c:strRef>
              <c:f>etaC_epsilon_plot!$C$10</c:f>
              <c:strCache>
                <c:ptCount val="1"/>
                <c:pt idx="0">
                  <c:v>Δt = 0.15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etaC_epsilon_plot!$C$11:$C$13</c:f>
              <c:numCache>
                <c:formatCode>General</c:formatCode>
                <c:ptCount val="3"/>
                <c:pt idx="0">
                  <c:v>1.7</c:v>
                </c:pt>
                <c:pt idx="1">
                  <c:v>0.06</c:v>
                </c:pt>
                <c:pt idx="2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F5-4237-9D70-5A05E0F8820D}"/>
            </c:ext>
          </c:extLst>
        </c:ser>
        <c:ser>
          <c:idx val="1"/>
          <c:order val="2"/>
          <c:tx>
            <c:strRef>
              <c:f>etaC_epsilon_plot!$D$10</c:f>
              <c:strCache>
                <c:ptCount val="1"/>
                <c:pt idx="0">
                  <c:v>Δt = 0.2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etaC_epsilon_plot!$D$11:$D$13</c:f>
              <c:numCache>
                <c:formatCode>General</c:formatCode>
                <c:ptCount val="3"/>
                <c:pt idx="0">
                  <c:v>1.7</c:v>
                </c:pt>
                <c:pt idx="1">
                  <c:v>7.0000000000000007E-2</c:v>
                </c:pt>
                <c:pt idx="2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F5-4237-9D70-5A05E0F8820D}"/>
            </c:ext>
          </c:extLst>
        </c:ser>
        <c:ser>
          <c:idx val="2"/>
          <c:order val="3"/>
          <c:tx>
            <c:strRef>
              <c:f>etaC_epsilon_plot!$F$10</c:f>
              <c:strCache>
                <c:ptCount val="1"/>
                <c:pt idx="0">
                  <c:v>Δt = 0.3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etaC_epsilon_plot!$F$11:$F$13</c:f>
              <c:numCache>
                <c:formatCode>General</c:formatCode>
                <c:ptCount val="3"/>
                <c:pt idx="0">
                  <c:v>1.6</c:v>
                </c:pt>
                <c:pt idx="1">
                  <c:v>0.05</c:v>
                </c:pt>
                <c:pt idx="2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F5-4237-9D70-5A05E0F8820D}"/>
            </c:ext>
          </c:extLst>
        </c:ser>
        <c:ser>
          <c:idx val="4"/>
          <c:order val="4"/>
          <c:tx>
            <c:strRef>
              <c:f>etaC_epsilon_plot!$E$10</c:f>
              <c:strCache>
                <c:ptCount val="1"/>
                <c:pt idx="0">
                  <c:v>Δt = 0.25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etaC_epsilon_plot!$E$11:$E$13</c:f>
              <c:numCache>
                <c:formatCode>General</c:formatCode>
                <c:ptCount val="3"/>
                <c:pt idx="0">
                  <c:v>1.7</c:v>
                </c:pt>
                <c:pt idx="1">
                  <c:v>0.06</c:v>
                </c:pt>
                <c:pt idx="2">
                  <c:v>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F5-4237-9D70-5A05E0F8820D}"/>
            </c:ext>
          </c:extLst>
        </c:ser>
        <c:ser>
          <c:idx val="5"/>
          <c:order val="5"/>
          <c:tx>
            <c:strRef>
              <c:f>etaC_epsilon_plot!$G$10</c:f>
              <c:strCache>
                <c:ptCount val="1"/>
                <c:pt idx="0">
                  <c:v>Δt = 0.35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etaC_epsilon_plot!$G$11:$G$13</c:f>
              <c:numCache>
                <c:formatCode>General</c:formatCode>
                <c:ptCount val="3"/>
                <c:pt idx="0">
                  <c:v>1.4</c:v>
                </c:pt>
                <c:pt idx="1">
                  <c:v>0.05</c:v>
                </c:pt>
                <c:pt idx="2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F5-4237-9D70-5A05E0F88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190400"/>
        <c:axId val="411188760"/>
      </c:scatterChart>
      <c:valAx>
        <c:axId val="411190400"/>
        <c:scaling>
          <c:logBase val="10"/>
          <c:orientation val="minMax"/>
          <c:max val="0.1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epsilon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88760"/>
        <c:crossesAt val="1.0000000000000002E-3"/>
        <c:crossBetween val="midCat"/>
      </c:valAx>
      <c:valAx>
        <c:axId val="4111887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EtaC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90400"/>
        <c:crossesAt val="1.0000000000000002E-3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Best</a:t>
            </a:r>
            <a:r>
              <a:rPr lang="en-GB" sz="1600" baseline="0"/>
              <a:t> etaC for different epsilon,</a:t>
            </a:r>
          </a:p>
          <a:p>
            <a:pPr>
              <a:defRPr/>
            </a:pPr>
            <a:r>
              <a:rPr lang="en-GB" sz="1600" baseline="0"/>
              <a:t>all epsilon values</a:t>
            </a:r>
            <a:endParaRPr lang="en-GB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etaC_epsilon_plot!$B$2</c:f>
              <c:strCache>
                <c:ptCount val="1"/>
                <c:pt idx="0">
                  <c:v>Δt = 0.1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etaC_epsilon_plot!$A$3:$A$7</c:f>
              <c:numCache>
                <c:formatCode>General</c:formatCode>
                <c:ptCount val="5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0.01</c:v>
                </c:pt>
                <c:pt idx="4">
                  <c:v>1E-3</c:v>
                </c:pt>
              </c:numCache>
            </c:numRef>
          </c:xVal>
          <c:yVal>
            <c:numRef>
              <c:f>etaC_epsilon_plot!$B$3:$B$7</c:f>
              <c:numCache>
                <c:formatCode>General</c:formatCode>
                <c:ptCount val="5"/>
                <c:pt idx="0">
                  <c:v>14</c:v>
                </c:pt>
                <c:pt idx="1">
                  <c:v>2.2999999999999998</c:v>
                </c:pt>
                <c:pt idx="2">
                  <c:v>1.35</c:v>
                </c:pt>
                <c:pt idx="3">
                  <c:v>0.22</c:v>
                </c:pt>
                <c:pt idx="4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17-4918-A8A6-761120A4395C}"/>
            </c:ext>
          </c:extLst>
        </c:ser>
        <c:ser>
          <c:idx val="1"/>
          <c:order val="1"/>
          <c:tx>
            <c:strRef>
              <c:f>etaC_epsilon_plot!$D$2</c:f>
              <c:strCache>
                <c:ptCount val="1"/>
                <c:pt idx="0">
                  <c:v>Δt = 0.2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etaC_epsilon_plot!$A$3:$A$7</c:f>
              <c:numCache>
                <c:formatCode>General</c:formatCode>
                <c:ptCount val="5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0.01</c:v>
                </c:pt>
                <c:pt idx="4">
                  <c:v>1E-3</c:v>
                </c:pt>
              </c:numCache>
            </c:numRef>
          </c:xVal>
          <c:yVal>
            <c:numRef>
              <c:f>etaC_epsilon_plot!$D$3:$D$7</c:f>
              <c:numCache>
                <c:formatCode>General</c:formatCode>
                <c:ptCount val="5"/>
                <c:pt idx="0">
                  <c:v>11.5</c:v>
                </c:pt>
                <c:pt idx="1">
                  <c:v>1.7</c:v>
                </c:pt>
                <c:pt idx="2">
                  <c:v>0.35</c:v>
                </c:pt>
                <c:pt idx="3">
                  <c:v>7.0000000000000007E-2</c:v>
                </c:pt>
                <c:pt idx="4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17-4918-A8A6-761120A4395C}"/>
            </c:ext>
          </c:extLst>
        </c:ser>
        <c:ser>
          <c:idx val="2"/>
          <c:order val="2"/>
          <c:tx>
            <c:strRef>
              <c:f>etaC_epsilon_plot!$F$2</c:f>
              <c:strCache>
                <c:ptCount val="1"/>
                <c:pt idx="0">
                  <c:v>Δt = 0.3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etaC_epsilon_plot!$A$3:$A$7</c:f>
              <c:numCache>
                <c:formatCode>General</c:formatCode>
                <c:ptCount val="5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0.01</c:v>
                </c:pt>
                <c:pt idx="4">
                  <c:v>1E-3</c:v>
                </c:pt>
              </c:numCache>
            </c:numRef>
          </c:xVal>
          <c:yVal>
            <c:numRef>
              <c:f>etaC_epsilon_plot!$F$3:$F$7</c:f>
              <c:numCache>
                <c:formatCode>General</c:formatCode>
                <c:ptCount val="5"/>
                <c:pt idx="0">
                  <c:v>8.5</c:v>
                </c:pt>
                <c:pt idx="1">
                  <c:v>1.6</c:v>
                </c:pt>
                <c:pt idx="2">
                  <c:v>1.45</c:v>
                </c:pt>
                <c:pt idx="3">
                  <c:v>0.05</c:v>
                </c:pt>
                <c:pt idx="4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17-4918-A8A6-761120A43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051800"/>
        <c:axId val="493054752"/>
      </c:scatterChart>
      <c:valAx>
        <c:axId val="4930518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epsilon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54752"/>
        <c:crossesAt val="1.0000000000000002E-3"/>
        <c:crossBetween val="midCat"/>
      </c:valAx>
      <c:valAx>
        <c:axId val="4930547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etaC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51800"/>
        <c:crossesAt val="1.0000000000000002E-3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baseline="0">
                <a:effectLst/>
              </a:rPr>
              <a:t>Best etaC for different epsilon,</a:t>
            </a:r>
            <a:endParaRPr lang="en-GB" sz="1600">
              <a:effectLst/>
            </a:endParaRPr>
          </a:p>
          <a:p>
            <a:pPr>
              <a:defRPr/>
            </a:pPr>
            <a:r>
              <a:rPr lang="en-GB" sz="1600" b="0" i="0" baseline="0">
                <a:effectLst/>
              </a:rPr>
              <a:t>all dt values</a:t>
            </a:r>
            <a:endParaRPr lang="en-GB" sz="16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etaC_epsilon_plot!$B$10</c:f>
              <c:strCache>
                <c:ptCount val="1"/>
                <c:pt idx="0">
                  <c:v>Δt = 0.1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etaC_epsilon_plot!$B$11:$B$13</c:f>
              <c:numCache>
                <c:formatCode>General</c:formatCode>
                <c:ptCount val="3"/>
                <c:pt idx="0">
                  <c:v>2.2999999999999998</c:v>
                </c:pt>
                <c:pt idx="1">
                  <c:v>0.22</c:v>
                </c:pt>
                <c:pt idx="2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F7-4049-A6A6-10D2D632043A}"/>
            </c:ext>
          </c:extLst>
        </c:ser>
        <c:ser>
          <c:idx val="3"/>
          <c:order val="1"/>
          <c:tx>
            <c:strRef>
              <c:f>etaC_epsilon_plot!$C$10</c:f>
              <c:strCache>
                <c:ptCount val="1"/>
                <c:pt idx="0">
                  <c:v>Δt = 0.15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etaC_epsilon_plot!$C$11:$C$13</c:f>
              <c:numCache>
                <c:formatCode>General</c:formatCode>
                <c:ptCount val="3"/>
                <c:pt idx="0">
                  <c:v>1.7</c:v>
                </c:pt>
                <c:pt idx="1">
                  <c:v>0.06</c:v>
                </c:pt>
                <c:pt idx="2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F7-4049-A6A6-10D2D632043A}"/>
            </c:ext>
          </c:extLst>
        </c:ser>
        <c:ser>
          <c:idx val="1"/>
          <c:order val="2"/>
          <c:tx>
            <c:strRef>
              <c:f>etaC_epsilon_plot!$D$10</c:f>
              <c:strCache>
                <c:ptCount val="1"/>
                <c:pt idx="0">
                  <c:v>Δt = 0.2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etaC_epsilon_plot!$D$11:$D$13</c:f>
              <c:numCache>
                <c:formatCode>General</c:formatCode>
                <c:ptCount val="3"/>
                <c:pt idx="0">
                  <c:v>1.7</c:v>
                </c:pt>
                <c:pt idx="1">
                  <c:v>7.0000000000000007E-2</c:v>
                </c:pt>
                <c:pt idx="2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F7-4049-A6A6-10D2D632043A}"/>
            </c:ext>
          </c:extLst>
        </c:ser>
        <c:ser>
          <c:idx val="4"/>
          <c:order val="3"/>
          <c:tx>
            <c:strRef>
              <c:f>etaC_epsilon_plot!$E$10</c:f>
              <c:strCache>
                <c:ptCount val="1"/>
                <c:pt idx="0">
                  <c:v>Δt = 0.25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etaC_epsilon_plot!$E$11:$E$13</c:f>
              <c:numCache>
                <c:formatCode>General</c:formatCode>
                <c:ptCount val="3"/>
                <c:pt idx="0">
                  <c:v>1.7</c:v>
                </c:pt>
                <c:pt idx="1">
                  <c:v>0.06</c:v>
                </c:pt>
                <c:pt idx="2">
                  <c:v>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F7-4049-A6A6-10D2D632043A}"/>
            </c:ext>
          </c:extLst>
        </c:ser>
        <c:ser>
          <c:idx val="2"/>
          <c:order val="4"/>
          <c:tx>
            <c:strRef>
              <c:f>etaC_epsilon_plot!$F$10</c:f>
              <c:strCache>
                <c:ptCount val="1"/>
                <c:pt idx="0">
                  <c:v>Δt = 0.3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etaC_epsilon_plot!$F$11:$F$13</c:f>
              <c:numCache>
                <c:formatCode>General</c:formatCode>
                <c:ptCount val="3"/>
                <c:pt idx="0">
                  <c:v>1.6</c:v>
                </c:pt>
                <c:pt idx="1">
                  <c:v>0.05</c:v>
                </c:pt>
                <c:pt idx="2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F7-4049-A6A6-10D2D632043A}"/>
            </c:ext>
          </c:extLst>
        </c:ser>
        <c:ser>
          <c:idx val="5"/>
          <c:order val="5"/>
          <c:tx>
            <c:strRef>
              <c:f>etaC_epsilon_plot!$G$10</c:f>
              <c:strCache>
                <c:ptCount val="1"/>
                <c:pt idx="0">
                  <c:v>Δt = 0.35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etaC_epsilon_plot!$G$11:$G$13</c:f>
              <c:numCache>
                <c:formatCode>General</c:formatCode>
                <c:ptCount val="3"/>
                <c:pt idx="0">
                  <c:v>1.4</c:v>
                </c:pt>
                <c:pt idx="1">
                  <c:v>0.05</c:v>
                </c:pt>
                <c:pt idx="2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F7-4049-A6A6-10D2D6320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190400"/>
        <c:axId val="411188760"/>
      </c:scatterChart>
      <c:valAx>
        <c:axId val="411190400"/>
        <c:scaling>
          <c:logBase val="10"/>
          <c:orientation val="minMax"/>
          <c:max val="0.1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epsilon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88760"/>
        <c:crossesAt val="1.0000000000000002E-3"/>
        <c:crossBetween val="midCat"/>
      </c:valAx>
      <c:valAx>
        <c:axId val="4111887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EtaC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90400"/>
        <c:crossesAt val="1.0000000000000002E-3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10249307479224"/>
          <c:y val="0.84281634118954707"/>
          <c:w val="0.7199445983379501"/>
          <c:h val="0.148169572703927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baseline="0">
                <a:effectLst/>
              </a:rPr>
              <a:t>Best etaC for different epsilon</a:t>
            </a:r>
            <a:endParaRPr lang="en-GB" sz="16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etaC_epsilon_plot!$B$10</c:f>
              <c:strCache>
                <c:ptCount val="1"/>
                <c:pt idx="0">
                  <c:v>Δt = 0.1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etaC_epsilon_plot!$B$11:$B$13</c:f>
              <c:numCache>
                <c:formatCode>General</c:formatCode>
                <c:ptCount val="3"/>
                <c:pt idx="0">
                  <c:v>2.2999999999999998</c:v>
                </c:pt>
                <c:pt idx="1">
                  <c:v>0.22</c:v>
                </c:pt>
                <c:pt idx="2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81-48F2-BA75-9084D7AAD49F}"/>
            </c:ext>
          </c:extLst>
        </c:ser>
        <c:ser>
          <c:idx val="1"/>
          <c:order val="2"/>
          <c:tx>
            <c:strRef>
              <c:f>etaC_epsilon_plot!$D$10</c:f>
              <c:strCache>
                <c:ptCount val="1"/>
                <c:pt idx="0">
                  <c:v>Δt = 0.2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etaC_epsilon_plot!$D$11:$D$13</c:f>
              <c:numCache>
                <c:formatCode>General</c:formatCode>
                <c:ptCount val="3"/>
                <c:pt idx="0">
                  <c:v>1.7</c:v>
                </c:pt>
                <c:pt idx="1">
                  <c:v>7.0000000000000007E-2</c:v>
                </c:pt>
                <c:pt idx="2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81-48F2-BA75-9084D7AAD49F}"/>
            </c:ext>
          </c:extLst>
        </c:ser>
        <c:ser>
          <c:idx val="2"/>
          <c:order val="3"/>
          <c:tx>
            <c:strRef>
              <c:f>etaC_epsilon_plot!$F$10</c:f>
              <c:strCache>
                <c:ptCount val="1"/>
                <c:pt idx="0">
                  <c:v>Δt = 0.3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etaC_epsilon_plot!$A$11:$A$13</c:f>
              <c:numCache>
                <c:formatCode>General</c:formatCode>
                <c:ptCount val="3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</c:numCache>
            </c:numRef>
          </c:xVal>
          <c:yVal>
            <c:numRef>
              <c:f>etaC_epsilon_plot!$F$11:$F$13</c:f>
              <c:numCache>
                <c:formatCode>General</c:formatCode>
                <c:ptCount val="3"/>
                <c:pt idx="0">
                  <c:v>1.6</c:v>
                </c:pt>
                <c:pt idx="1">
                  <c:v>0.05</c:v>
                </c:pt>
                <c:pt idx="2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81-48F2-BA75-9084D7AAD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190400"/>
        <c:axId val="41118876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etaC_epsilon_plot!$C$10</c15:sqref>
                        </c15:formulaRef>
                      </c:ext>
                    </c:extLst>
                    <c:strCache>
                      <c:ptCount val="1"/>
                      <c:pt idx="0">
                        <c:v>Δt = 0.15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etaC_epsilon_plot!$A$11:$A$13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0.1</c:v>
                      </c:pt>
                      <c:pt idx="1">
                        <c:v>0.01</c:v>
                      </c:pt>
                      <c:pt idx="2">
                        <c:v>1E-3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etaC_epsilon_plot!$C$11:$C$13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1.7</c:v>
                      </c:pt>
                      <c:pt idx="1">
                        <c:v>0.06</c:v>
                      </c:pt>
                      <c:pt idx="2">
                        <c:v>5.0000000000000001E-3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981-48F2-BA75-9084D7AAD49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etaC_epsilon_plot!$E$10</c15:sqref>
                        </c15:formulaRef>
                      </c:ext>
                    </c:extLst>
                    <c:strCache>
                      <c:ptCount val="1"/>
                      <c:pt idx="0">
                        <c:v>Δt = 0.25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etaC_epsilon_plot!$A$11:$A$13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0.1</c:v>
                      </c:pt>
                      <c:pt idx="1">
                        <c:v>0.01</c:v>
                      </c:pt>
                      <c:pt idx="2">
                        <c:v>1E-3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etaC_epsilon_plot!$E$11:$E$13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1.7</c:v>
                      </c:pt>
                      <c:pt idx="1">
                        <c:v>0.06</c:v>
                      </c:pt>
                      <c:pt idx="2">
                        <c:v>4.0000000000000001E-3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981-48F2-BA75-9084D7AAD49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etaC_epsilon_plot!$G$10</c15:sqref>
                        </c15:formulaRef>
                      </c:ext>
                    </c:extLst>
                    <c:strCache>
                      <c:ptCount val="1"/>
                      <c:pt idx="0">
                        <c:v>Δt = 0.35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etaC_epsilon_plot!$A$11:$A$13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0.1</c:v>
                      </c:pt>
                      <c:pt idx="1">
                        <c:v>0.01</c:v>
                      </c:pt>
                      <c:pt idx="2">
                        <c:v>1E-3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etaC_epsilon_plot!$G$11:$G$13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1.4</c:v>
                      </c:pt>
                      <c:pt idx="1">
                        <c:v>0.05</c:v>
                      </c:pt>
                      <c:pt idx="2">
                        <c:v>3.0000000000000001E-3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981-48F2-BA75-9084D7AAD49F}"/>
                  </c:ext>
                </c:extLst>
              </c15:ser>
            </c15:filteredScatterSeries>
          </c:ext>
        </c:extLst>
      </c:scatterChart>
      <c:valAx>
        <c:axId val="411190400"/>
        <c:scaling>
          <c:logBase val="10"/>
          <c:orientation val="minMax"/>
          <c:max val="0.1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epsilon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88760"/>
        <c:crossesAt val="1.0000000000000002E-3"/>
        <c:crossBetween val="midCat"/>
      </c:valAx>
      <c:valAx>
        <c:axId val="4111887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EtaC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90400"/>
        <c:crossesAt val="1.0000000000000002E-3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10249307479224"/>
          <c:y val="0.84281634118954707"/>
          <c:w val="0.7199445983379501"/>
          <c:h val="0.148169572703927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565727</xdr:colOff>
      <xdr:row>28</xdr:row>
      <xdr:rowOff>111988</xdr:rowOff>
    </xdr:from>
    <xdr:to>
      <xdr:col>12</xdr:col>
      <xdr:colOff>288636</xdr:colOff>
      <xdr:row>47</xdr:row>
      <xdr:rowOff>103907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36FE4-9BD0-C8D9-A06A-246E3754F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246945</xdr:colOff>
      <xdr:row>47</xdr:row>
      <xdr:rowOff>187674</xdr:rowOff>
    </xdr:from>
    <xdr:to>
      <xdr:col>13</xdr:col>
      <xdr:colOff>437446</xdr:colOff>
      <xdr:row>75</xdr:row>
      <xdr:rowOff>84663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0EA8CA-8F5B-D0C3-7BF6-303D29378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508000</xdr:colOff>
      <xdr:row>48</xdr:row>
      <xdr:rowOff>127000</xdr:rowOff>
    </xdr:from>
    <xdr:to>
      <xdr:col>26</xdr:col>
      <xdr:colOff>388056</xdr:colOff>
      <xdr:row>76</xdr:row>
      <xdr:rowOff>23990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EAFEA7-0FBB-CB4A-8325-C87C97C7F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377825</xdr:colOff>
      <xdr:row>24</xdr:row>
      <xdr:rowOff>73025</xdr:rowOff>
    </xdr:from>
    <xdr:to>
      <xdr:col>9</xdr:col>
      <xdr:colOff>73025</xdr:colOff>
      <xdr:row>39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384175</xdr:colOff>
      <xdr:row>15</xdr:row>
      <xdr:rowOff>0</xdr:rowOff>
    </xdr:from>
    <xdr:ext cx="17863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8918575" y="2994025"/>
              <a:ext cx="1786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8918575" y="2994025"/>
              <a:ext cx="1786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𝜂_𝐶</a:t>
              </a:r>
              <a:endParaRPr lang="en-GB" sz="1100"/>
            </a:p>
          </xdr:txBody>
        </xdr:sp>
      </mc:Fallback>
    </mc:AlternateContent>
    <xdr:clientData/>
  </xdr:oneCellAnchor>
  <xdr:twoCellAnchor>
    <xdr:from>
      <xdr:col>9</xdr:col>
      <xdr:colOff>438150</xdr:colOff>
      <xdr:row>23</xdr:row>
      <xdr:rowOff>133350</xdr:rowOff>
    </xdr:from>
    <xdr:to>
      <xdr:col>17</xdr:col>
      <xdr:colOff>69850</xdr:colOff>
      <xdr:row>38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247650</xdr:colOff>
      <xdr:row>23</xdr:row>
      <xdr:rowOff>76200</xdr:rowOff>
    </xdr:from>
    <xdr:to>
      <xdr:col>24</xdr:col>
      <xdr:colOff>615950</xdr:colOff>
      <xdr:row>38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584200</xdr:colOff>
      <xdr:row>43</xdr:row>
      <xdr:rowOff>107950</xdr:rowOff>
    </xdr:from>
    <xdr:to>
      <xdr:col>21</xdr:col>
      <xdr:colOff>444500</xdr:colOff>
      <xdr:row>57</xdr:row>
      <xdr:rowOff>184150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0ECC45-AF3E-8902-92C6-ABAA4CD92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304800</xdr:colOff>
      <xdr:row>38</xdr:row>
      <xdr:rowOff>177800</xdr:rowOff>
    </xdr:from>
    <xdr:to>
      <xdr:col>11</xdr:col>
      <xdr:colOff>0</xdr:colOff>
      <xdr:row>53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AAFF6C-7AE5-1541-9B2D-5215E569E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120650</xdr:colOff>
      <xdr:row>30</xdr:row>
      <xdr:rowOff>171450</xdr:rowOff>
    </xdr:from>
    <xdr:to>
      <xdr:col>10</xdr:col>
      <xdr:colOff>0</xdr:colOff>
      <xdr:row>45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4B788-0058-398D-A223-1D839D954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</xdr:colOff>
      <xdr:row>17</xdr:row>
      <xdr:rowOff>174625</xdr:rowOff>
    </xdr:from>
    <xdr:to>
      <xdr:col>9</xdr:col>
      <xdr:colOff>384175</xdr:colOff>
      <xdr:row>32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438150</xdr:colOff>
      <xdr:row>17</xdr:row>
      <xdr:rowOff>171450</xdr:rowOff>
    </xdr:from>
    <xdr:to>
      <xdr:col>18</xdr:col>
      <xdr:colOff>133350</xdr:colOff>
      <xdr:row>32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533400</xdr:colOff>
      <xdr:row>26</xdr:row>
      <xdr:rowOff>19050</xdr:rowOff>
    </xdr:from>
    <xdr:to>
      <xdr:col>10</xdr:col>
      <xdr:colOff>228600</xdr:colOff>
      <xdr:row>41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10</xdr:col>
      <xdr:colOff>330200</xdr:colOff>
      <xdr:row>36</xdr:row>
      <xdr:rowOff>155575</xdr:rowOff>
    </xdr:from>
    <xdr:ext cx="28067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SpPr txBox="1"/>
          </xdr:nvSpPr>
          <xdr:spPr>
            <a:xfrm>
              <a:off x="6426200" y="6784975"/>
              <a:ext cx="28067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>
                        <a:latin typeface="Cambria Math" panose="02040503050406030204" pitchFamily="18" charset="0"/>
                      </a:rPr>
                      <m:t>Δ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6426200" y="6784975"/>
              <a:ext cx="28067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Δ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11</xdr:col>
      <xdr:colOff>469900</xdr:colOff>
      <xdr:row>40</xdr:row>
      <xdr:rowOff>3175</xdr:rowOff>
    </xdr:from>
    <xdr:ext cx="17863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:cNvPr>
            <xdr:cNvSpPr txBox="1"/>
          </xdr:nvSpPr>
          <xdr:spPr>
            <a:xfrm>
              <a:off x="7175500" y="7369175"/>
              <a:ext cx="1786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7175500" y="7369175"/>
              <a:ext cx="1786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𝜂_𝐶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11</xdr:col>
      <xdr:colOff>584200</xdr:colOff>
      <xdr:row>33</xdr:row>
      <xdr:rowOff>123825</xdr:rowOff>
    </xdr:from>
    <xdr:ext cx="5334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:cNvPr>
            <xdr:cNvSpPr txBox="1"/>
          </xdr:nvSpPr>
          <xdr:spPr>
            <a:xfrm>
              <a:off x="7289800" y="6200775"/>
              <a:ext cx="5334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𝜖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7289800" y="6200775"/>
              <a:ext cx="5334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𝜖</a:t>
              </a:r>
              <a:endParaRPr lang="en-GB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312916</xdr:colOff>
      <xdr:row>39</xdr:row>
      <xdr:rowOff>179896</xdr:rowOff>
    </xdr:from>
    <xdr:to>
      <xdr:col>14</xdr:col>
      <xdr:colOff>798659</xdr:colOff>
      <xdr:row>53</xdr:row>
      <xdr:rowOff>173611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DCCA57-A539-7E77-F4CC-AC0D75125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16</xdr:row>
      <xdr:rowOff>130175</xdr:rowOff>
    </xdr:from>
    <xdr:to>
      <xdr:col>11</xdr:col>
      <xdr:colOff>266700</xdr:colOff>
      <xdr:row>31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269007</xdr:colOff>
      <xdr:row>38</xdr:row>
      <xdr:rowOff>69273</xdr:rowOff>
    </xdr:from>
    <xdr:to>
      <xdr:col>12</xdr:col>
      <xdr:colOff>184725</xdr:colOff>
      <xdr:row>57</xdr:row>
      <xdr:rowOff>9236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DC2145-A305-CDB2-812C-847CB6697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8</xdr:row>
      <xdr:rowOff>174625</xdr:rowOff>
    </xdr:from>
    <xdr:to>
      <xdr:col>11</xdr:col>
      <xdr:colOff>466725</xdr:colOff>
      <xdr:row>23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46</xdr:row>
      <xdr:rowOff>149225</xdr:rowOff>
    </xdr:from>
    <xdr:to>
      <xdr:col>9</xdr:col>
      <xdr:colOff>123825</xdr:colOff>
      <xdr:row>61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395816</xdr:colOff>
      <xdr:row>24</xdr:row>
      <xdr:rowOff>57150</xdr:rowOff>
    </xdr:from>
    <xdr:to>
      <xdr:col>9</xdr:col>
      <xdr:colOff>91016</xdr:colOff>
      <xdr:row>39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450850</xdr:colOff>
      <xdr:row>24</xdr:row>
      <xdr:rowOff>35983</xdr:rowOff>
    </xdr:from>
    <xdr:to>
      <xdr:col>17</xdr:col>
      <xdr:colOff>146050</xdr:colOff>
      <xdr:row>39</xdr:row>
      <xdr:rowOff>16933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400050</xdr:colOff>
      <xdr:row>40</xdr:row>
      <xdr:rowOff>21167</xdr:rowOff>
    </xdr:from>
    <xdr:to>
      <xdr:col>9</xdr:col>
      <xdr:colOff>95250</xdr:colOff>
      <xdr:row>55</xdr:row>
      <xdr:rowOff>2117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486834</xdr:colOff>
      <xdr:row>40</xdr:row>
      <xdr:rowOff>52917</xdr:rowOff>
    </xdr:from>
    <xdr:to>
      <xdr:col>17</xdr:col>
      <xdr:colOff>182034</xdr:colOff>
      <xdr:row>55</xdr:row>
      <xdr:rowOff>33867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546100</xdr:colOff>
      <xdr:row>46</xdr:row>
      <xdr:rowOff>114300</xdr:rowOff>
    </xdr:from>
    <xdr:to>
      <xdr:col>17</xdr:col>
      <xdr:colOff>241300</xdr:colOff>
      <xdr:row>61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63</xdr:row>
      <xdr:rowOff>0</xdr:rowOff>
    </xdr:from>
    <xdr:to>
      <xdr:col>17</xdr:col>
      <xdr:colOff>304800</xdr:colOff>
      <xdr:row>77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517525</xdr:colOff>
      <xdr:row>0</xdr:row>
      <xdr:rowOff>88900</xdr:rowOff>
    </xdr:from>
    <xdr:to>
      <xdr:col>16</xdr:col>
      <xdr:colOff>212725</xdr:colOff>
      <xdr:row>15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546100</xdr:colOff>
      <xdr:row>14</xdr:row>
      <xdr:rowOff>69850</xdr:rowOff>
    </xdr:from>
    <xdr:to>
      <xdr:col>8</xdr:col>
      <xdr:colOff>241300</xdr:colOff>
      <xdr:row>29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549275</xdr:colOff>
      <xdr:row>15</xdr:row>
      <xdr:rowOff>174625</xdr:rowOff>
    </xdr:from>
    <xdr:to>
      <xdr:col>16</xdr:col>
      <xdr:colOff>244475</xdr:colOff>
      <xdr:row>30</xdr:row>
      <xdr:rowOff>155575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444501</xdr:colOff>
      <xdr:row>0</xdr:row>
      <xdr:rowOff>158750</xdr:rowOff>
    </xdr:from>
    <xdr:to>
      <xdr:col>24</xdr:col>
      <xdr:colOff>139701</xdr:colOff>
      <xdr:row>15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460375</xdr:colOff>
      <xdr:row>16</xdr:row>
      <xdr:rowOff>71438</xdr:rowOff>
    </xdr:from>
    <xdr:to>
      <xdr:col>24</xdr:col>
      <xdr:colOff>155575</xdr:colOff>
      <xdr:row>31</xdr:row>
      <xdr:rowOff>150812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35</xdr:row>
      <xdr:rowOff>0</xdr:rowOff>
    </xdr:from>
    <xdr:to>
      <xdr:col>23</xdr:col>
      <xdr:colOff>306387</xdr:colOff>
      <xdr:row>50</xdr:row>
      <xdr:rowOff>79375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zoomScale="110" zoomScaleNormal="110" workbookViewId="0">
      <selection activeCell="N3" sqref="N3"/>
    </sheetView>
  </sheetViews>
  <sheetFormatPr baseColWidth="10" defaultColWidth="8.83203125" defaultRowHeight="15" x14ac:dyDescent="0.2"/>
  <cols>
    <col min="10" max="10" width="15.1640625" customWidth="1"/>
    <col min="11" max="11" width="11.83203125" bestFit="1" customWidth="1"/>
    <col min="12" max="12" width="14.33203125" bestFit="1" customWidth="1"/>
    <col min="13" max="13" width="16.5" customWidth="1"/>
    <col min="17" max="17" width="13.6640625" bestFit="1" customWidth="1"/>
  </cols>
  <sheetData>
    <row r="1" spans="1:17" ht="16" customHeight="1" x14ac:dyDescent="0.2">
      <c r="J1" s="1" t="s">
        <v>46</v>
      </c>
      <c r="L1" t="s">
        <v>72</v>
      </c>
      <c r="M1" t="s">
        <v>74</v>
      </c>
      <c r="N1" t="s">
        <v>1</v>
      </c>
      <c r="O1" t="s">
        <v>14</v>
      </c>
      <c r="P1" t="s">
        <v>73</v>
      </c>
      <c r="Q1" s="1"/>
    </row>
    <row r="2" spans="1:17" x14ac:dyDescent="0.2">
      <c r="A2" t="s">
        <v>0</v>
      </c>
      <c r="C2" t="s">
        <v>1</v>
      </c>
      <c r="D2" t="s">
        <v>2</v>
      </c>
      <c r="F2" t="s">
        <v>5</v>
      </c>
      <c r="G2" t="s">
        <v>4</v>
      </c>
      <c r="H2" t="s">
        <v>19</v>
      </c>
    </row>
    <row r="3" spans="1:17" x14ac:dyDescent="0.2">
      <c r="A3">
        <v>0.1</v>
      </c>
      <c r="C3" s="5">
        <v>7.67953612215111E-4</v>
      </c>
      <c r="D3" s="5">
        <v>0.2</v>
      </c>
      <c r="F3" s="5">
        <v>6.2030931576822499E-3</v>
      </c>
      <c r="G3" s="5">
        <v>28.5</v>
      </c>
      <c r="H3">
        <f>G3/0.5</f>
        <v>57</v>
      </c>
      <c r="J3">
        <f t="shared" ref="J3:J25" si="0">100*(C3-F3)/C3</f>
        <v>-707.74320987824274</v>
      </c>
      <c r="M3" s="5">
        <v>2.9496877473350098E-4</v>
      </c>
      <c r="N3" s="5">
        <v>2.81591629243809E-4</v>
      </c>
      <c r="O3" s="5">
        <v>2.0472981708186499E-3</v>
      </c>
      <c r="P3">
        <f>100*(N3-O3)/N3</f>
        <v>-627.04511008246209</v>
      </c>
    </row>
    <row r="4" spans="1:17" x14ac:dyDescent="0.2">
      <c r="A4">
        <v>0.15</v>
      </c>
      <c r="C4" s="5">
        <v>5.1544958358032897E-3</v>
      </c>
      <c r="D4" s="5">
        <v>0.45</v>
      </c>
      <c r="F4" s="5">
        <v>8.09051544619541E-3</v>
      </c>
      <c r="G4" s="5">
        <v>29</v>
      </c>
      <c r="H4">
        <f t="shared" ref="H4:H8" si="1">G4/0.5</f>
        <v>58</v>
      </c>
      <c r="J4">
        <f t="shared" si="0"/>
        <v>-56.960364387113017</v>
      </c>
      <c r="P4" t="e">
        <f t="shared" ref="P4:P24" si="2">100*(N4-O4)/N4</f>
        <v>#DIV/0!</v>
      </c>
    </row>
    <row r="5" spans="1:17" x14ac:dyDescent="0.2">
      <c r="A5">
        <v>0.2</v>
      </c>
      <c r="C5" s="5">
        <v>1.6130025567042499E-2</v>
      </c>
      <c r="D5" s="5">
        <v>0.85</v>
      </c>
      <c r="F5" s="5">
        <v>1.6327842974547001E-2</v>
      </c>
      <c r="G5" s="5">
        <v>23</v>
      </c>
      <c r="H5">
        <f t="shared" si="1"/>
        <v>46</v>
      </c>
      <c r="J5">
        <f t="shared" si="0"/>
        <v>-1.2263923989599252</v>
      </c>
      <c r="M5" s="5">
        <v>6.7616941911228896E-3</v>
      </c>
      <c r="N5" s="5">
        <v>5.5621175175320503E-3</v>
      </c>
      <c r="O5">
        <v>5.5003613417791896E-3</v>
      </c>
      <c r="P5">
        <f t="shared" si="2"/>
        <v>1.1102997295221173</v>
      </c>
    </row>
    <row r="6" spans="1:17" x14ac:dyDescent="0.2">
      <c r="A6">
        <v>0.25</v>
      </c>
      <c r="C6" s="5">
        <v>2.6020930734625601E-2</v>
      </c>
      <c r="D6" s="5">
        <v>0.95</v>
      </c>
      <c r="F6" s="5">
        <v>2.5524479184506E-2</v>
      </c>
      <c r="G6" s="5">
        <v>23</v>
      </c>
      <c r="H6">
        <f t="shared" si="1"/>
        <v>46</v>
      </c>
      <c r="J6">
        <f t="shared" si="0"/>
        <v>1.9078931310438547</v>
      </c>
      <c r="P6" t="e">
        <f t="shared" si="2"/>
        <v>#DIV/0!</v>
      </c>
    </row>
    <row r="7" spans="1:17" x14ac:dyDescent="0.2">
      <c r="A7">
        <v>0.3</v>
      </c>
      <c r="C7" s="5">
        <v>3.1826043972851797E-2</v>
      </c>
      <c r="D7" s="5">
        <v>1</v>
      </c>
      <c r="F7" s="5">
        <v>2.8925111448591199E-2</v>
      </c>
      <c r="G7" s="5">
        <v>11</v>
      </c>
      <c r="H7">
        <f t="shared" si="1"/>
        <v>22</v>
      </c>
      <c r="J7">
        <f t="shared" si="0"/>
        <v>9.1149642309774581</v>
      </c>
      <c r="M7" s="5">
        <v>2.0661591628634499E-2</v>
      </c>
      <c r="N7" s="5">
        <v>1.13923875509724E-2</v>
      </c>
      <c r="O7" s="5">
        <v>1.00568460403689E-2</v>
      </c>
      <c r="P7">
        <f t="shared" si="2"/>
        <v>11.723104613742745</v>
      </c>
    </row>
    <row r="8" spans="1:17" x14ac:dyDescent="0.2">
      <c r="A8">
        <v>0.35</v>
      </c>
      <c r="C8" s="5">
        <v>4.6038051102883303E-2</v>
      </c>
      <c r="D8" s="5">
        <v>1.1000000000000001</v>
      </c>
      <c r="F8" s="5">
        <v>4.0894120582732799E-2</v>
      </c>
      <c r="G8" s="5">
        <v>11</v>
      </c>
      <c r="H8">
        <f t="shared" si="1"/>
        <v>22</v>
      </c>
      <c r="J8">
        <f t="shared" si="0"/>
        <v>11.173215192483129</v>
      </c>
    </row>
    <row r="9" spans="1:17" x14ac:dyDescent="0.2">
      <c r="J9" t="e">
        <f t="shared" si="0"/>
        <v>#DIV/0!</v>
      </c>
    </row>
    <row r="10" spans="1:17" x14ac:dyDescent="0.2">
      <c r="A10" t="s">
        <v>53</v>
      </c>
      <c r="J10" t="e">
        <f t="shared" si="0"/>
        <v>#DIV/0!</v>
      </c>
    </row>
    <row r="11" spans="1:17" x14ac:dyDescent="0.2">
      <c r="A11">
        <v>0.1</v>
      </c>
      <c r="J11" t="e">
        <f t="shared" si="0"/>
        <v>#DIV/0!</v>
      </c>
    </row>
    <row r="12" spans="1:17" x14ac:dyDescent="0.2">
      <c r="A12">
        <v>0.15</v>
      </c>
      <c r="J12" t="e">
        <f t="shared" si="0"/>
        <v>#DIV/0!</v>
      </c>
    </row>
    <row r="13" spans="1:17" x14ac:dyDescent="0.2">
      <c r="A13">
        <v>0.2</v>
      </c>
      <c r="C13" s="5">
        <v>1.9177184786317299E-2</v>
      </c>
      <c r="D13" s="5">
        <v>0.7</v>
      </c>
      <c r="F13" s="5">
        <v>2.04664460712351E-2</v>
      </c>
      <c r="G13" s="5">
        <v>30</v>
      </c>
      <c r="J13">
        <f t="shared" si="0"/>
        <v>-6.7228912860957255</v>
      </c>
    </row>
    <row r="14" spans="1:17" x14ac:dyDescent="0.2">
      <c r="A14">
        <v>0.25</v>
      </c>
      <c r="J14" t="e">
        <f t="shared" si="0"/>
        <v>#DIV/0!</v>
      </c>
    </row>
    <row r="15" spans="1:17" x14ac:dyDescent="0.2">
      <c r="A15">
        <v>0.3</v>
      </c>
      <c r="C15" s="5">
        <v>4.15018950095183E-2</v>
      </c>
      <c r="D15" s="5">
        <v>0.9</v>
      </c>
      <c r="F15" s="5">
        <v>3.9578588243622398E-2</v>
      </c>
      <c r="G15" s="5">
        <v>14.5</v>
      </c>
      <c r="J15">
        <f t="shared" si="0"/>
        <v>4.6342625209157289</v>
      </c>
    </row>
    <row r="16" spans="1:17" x14ac:dyDescent="0.2">
      <c r="A16">
        <v>0.35</v>
      </c>
      <c r="J16" t="e">
        <f t="shared" si="0"/>
        <v>#DIV/0!</v>
      </c>
    </row>
    <row r="17" spans="1:16" x14ac:dyDescent="0.2">
      <c r="J17" t="e">
        <f t="shared" si="0"/>
        <v>#DIV/0!</v>
      </c>
    </row>
    <row r="18" spans="1:16" x14ac:dyDescent="0.2">
      <c r="J18" t="e">
        <f t="shared" si="0"/>
        <v>#DIV/0!</v>
      </c>
    </row>
    <row r="19" spans="1:16" x14ac:dyDescent="0.2">
      <c r="A19" t="s">
        <v>54</v>
      </c>
      <c r="J19" t="e">
        <f t="shared" si="0"/>
        <v>#DIV/0!</v>
      </c>
    </row>
    <row r="20" spans="1:16" x14ac:dyDescent="0.2">
      <c r="A20">
        <v>0.1</v>
      </c>
      <c r="C20" s="5">
        <v>1.0574924615288799E-3</v>
      </c>
      <c r="D20" s="5">
        <v>0.3</v>
      </c>
      <c r="F20" s="5">
        <v>8.5248685996968908E-3</v>
      </c>
      <c r="G20" s="5">
        <v>32</v>
      </c>
      <c r="J20">
        <f t="shared" si="0"/>
        <v>-706.13989317446101</v>
      </c>
      <c r="M20" s="5">
        <v>5.1878831760358195E-4</v>
      </c>
      <c r="N20" s="5">
        <v>3.7009964390868699E-4</v>
      </c>
      <c r="O20" s="5">
        <v>2.8512296459969801E-3</v>
      </c>
      <c r="P20">
        <f t="shared" si="2"/>
        <v>-670.39513356042335</v>
      </c>
    </row>
    <row r="21" spans="1:16" x14ac:dyDescent="0.2">
      <c r="A21">
        <v>0.15</v>
      </c>
      <c r="C21" s="5">
        <v>6.5766364272026303E-3</v>
      </c>
      <c r="D21" s="5">
        <v>0.4</v>
      </c>
      <c r="F21" s="5">
        <v>1.1055776182462999E-2</v>
      </c>
      <c r="G21" s="5">
        <v>37.5</v>
      </c>
      <c r="J21">
        <f t="shared" si="0"/>
        <v>-68.106847700041854</v>
      </c>
      <c r="P21" t="e">
        <f t="shared" si="2"/>
        <v>#DIV/0!</v>
      </c>
    </row>
    <row r="22" spans="1:16" x14ac:dyDescent="0.2">
      <c r="A22">
        <v>0.2</v>
      </c>
      <c r="C22" s="5">
        <v>1.7064880394600201E-2</v>
      </c>
      <c r="D22" s="5">
        <v>0.5</v>
      </c>
      <c r="F22" s="5">
        <v>1.9632446835396899E-2</v>
      </c>
      <c r="G22" s="5">
        <v>37.5</v>
      </c>
      <c r="J22">
        <f t="shared" si="0"/>
        <v>-15.045909384803815</v>
      </c>
      <c r="M22" s="5">
        <v>7.2303831386945497E-3</v>
      </c>
      <c r="N22" s="5">
        <v>5.8218742738548601E-3</v>
      </c>
      <c r="O22" s="5">
        <v>6.61394969509836E-3</v>
      </c>
      <c r="P22">
        <f t="shared" si="2"/>
        <v>-13.605161911527162</v>
      </c>
    </row>
    <row r="23" spans="1:16" x14ac:dyDescent="0.2">
      <c r="A23">
        <v>0.25</v>
      </c>
      <c r="C23" s="5">
        <v>4.9726721225431099E-2</v>
      </c>
      <c r="D23" s="5">
        <v>0.85</v>
      </c>
      <c r="F23" s="5">
        <v>5.10248305652981E-2</v>
      </c>
      <c r="G23" s="5">
        <v>15</v>
      </c>
      <c r="J23">
        <f t="shared" si="0"/>
        <v>-2.6104864907182455</v>
      </c>
      <c r="P23" t="e">
        <f t="shared" si="2"/>
        <v>#DIV/0!</v>
      </c>
    </row>
    <row r="24" spans="1:16" x14ac:dyDescent="0.2">
      <c r="A24">
        <v>0.3</v>
      </c>
      <c r="C24" s="5">
        <v>5.2535927057865597E-2</v>
      </c>
      <c r="D24" s="5">
        <v>0.7</v>
      </c>
      <c r="F24" s="5">
        <v>5.2841303695251002E-2</v>
      </c>
      <c r="G24" s="5">
        <v>15</v>
      </c>
      <c r="J24">
        <f t="shared" si="0"/>
        <v>-0.58127200658141598</v>
      </c>
      <c r="M24" s="5">
        <v>2.4934946160698902E-2</v>
      </c>
      <c r="N24" s="5">
        <v>1.8389692880397102E-2</v>
      </c>
      <c r="O24" s="5">
        <v>1.8315293558923799E-2</v>
      </c>
      <c r="P24">
        <f t="shared" si="2"/>
        <v>0.40457076666358976</v>
      </c>
    </row>
    <row r="25" spans="1:16" x14ac:dyDescent="0.2">
      <c r="A25">
        <v>0.35</v>
      </c>
      <c r="C25" s="5">
        <v>8.6795935128775897E-2</v>
      </c>
      <c r="D25" s="5">
        <v>0.75</v>
      </c>
      <c r="F25" s="5">
        <v>8.3968131162696094E-2</v>
      </c>
      <c r="G25" s="5">
        <v>14.5</v>
      </c>
      <c r="J25">
        <f t="shared" si="0"/>
        <v>3.2579912433506197</v>
      </c>
    </row>
    <row r="28" spans="1:16" x14ac:dyDescent="0.2">
      <c r="F28" t="s">
        <v>57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38"/>
  <sheetViews>
    <sheetView workbookViewId="0">
      <selection activeCell="AE6" sqref="C6:AE6"/>
    </sheetView>
  </sheetViews>
  <sheetFormatPr baseColWidth="10" defaultColWidth="8.83203125" defaultRowHeight="15" x14ac:dyDescent="0.2"/>
  <sheetData>
    <row r="2" spans="1:31" x14ac:dyDescent="0.2">
      <c r="B2" t="s">
        <v>11</v>
      </c>
      <c r="C2">
        <v>0.5</v>
      </c>
      <c r="D2">
        <v>1</v>
      </c>
      <c r="E2">
        <v>1.5</v>
      </c>
      <c r="F2">
        <v>2</v>
      </c>
      <c r="G2">
        <v>2.5</v>
      </c>
      <c r="H2">
        <v>3</v>
      </c>
      <c r="I2">
        <v>3.5</v>
      </c>
      <c r="J2">
        <v>4</v>
      </c>
      <c r="K2">
        <v>4.5</v>
      </c>
      <c r="L2">
        <v>5</v>
      </c>
      <c r="M2">
        <v>5.5</v>
      </c>
      <c r="N2">
        <v>6</v>
      </c>
      <c r="O2">
        <v>6.5</v>
      </c>
      <c r="P2">
        <v>7</v>
      </c>
      <c r="Q2">
        <v>7.5</v>
      </c>
      <c r="R2">
        <v>8</v>
      </c>
      <c r="S2">
        <v>8.5</v>
      </c>
      <c r="T2">
        <v>9</v>
      </c>
      <c r="U2">
        <v>9.5</v>
      </c>
      <c r="V2">
        <v>10</v>
      </c>
      <c r="W2">
        <v>10.5</v>
      </c>
      <c r="X2">
        <v>11</v>
      </c>
      <c r="Y2">
        <v>11.5</v>
      </c>
      <c r="Z2">
        <v>12</v>
      </c>
      <c r="AA2">
        <v>12.5</v>
      </c>
      <c r="AB2">
        <v>13</v>
      </c>
      <c r="AC2">
        <v>13.5</v>
      </c>
      <c r="AD2">
        <v>14</v>
      </c>
      <c r="AE2">
        <v>14.5</v>
      </c>
    </row>
    <row r="4" spans="1:31" x14ac:dyDescent="0.2">
      <c r="B4" t="s">
        <v>10</v>
      </c>
      <c r="C4" s="4">
        <v>5.7418205406906297</v>
      </c>
      <c r="D4" s="4">
        <v>5.1466188642010504</v>
      </c>
      <c r="E4" s="4">
        <v>4.1655836433316704</v>
      </c>
      <c r="F4" s="4">
        <v>3.0570562425557202</v>
      </c>
      <c r="G4" s="4">
        <v>1.9843362333296799</v>
      </c>
      <c r="H4" s="4">
        <v>1.0499779733874901</v>
      </c>
      <c r="I4" s="4">
        <v>0.35202024460975301</v>
      </c>
      <c r="J4" s="4">
        <v>0.18622448891662799</v>
      </c>
      <c r="K4" s="4">
        <v>0.38207095286285803</v>
      </c>
      <c r="L4" s="4">
        <v>0.39731717809560801</v>
      </c>
      <c r="M4" s="4">
        <v>0.27883582132076001</v>
      </c>
      <c r="N4" s="4">
        <v>0.113314609624052</v>
      </c>
      <c r="O4" s="4">
        <v>3.9831510320913498E-2</v>
      </c>
      <c r="P4" s="4">
        <v>0.11516244031117399</v>
      </c>
      <c r="Q4" s="4">
        <v>0.12750438621136601</v>
      </c>
      <c r="R4" s="4">
        <v>8.7530379443633705E-2</v>
      </c>
      <c r="S4" s="4">
        <v>2.9630305061445601E-2</v>
      </c>
      <c r="T4" s="4">
        <v>6.5410957691558094E-2</v>
      </c>
      <c r="U4" s="4">
        <v>0.110177779457964</v>
      </c>
      <c r="V4" s="4">
        <v>0.117865629798083</v>
      </c>
      <c r="W4" s="4">
        <v>9.0889206660441701E-2</v>
      </c>
      <c r="X4" s="4">
        <v>4.6319229593399097E-2</v>
      </c>
      <c r="Y4" s="4">
        <v>2.3473542956288399E-2</v>
      </c>
      <c r="Z4" s="4">
        <v>4.9642548477521801E-2</v>
      </c>
      <c r="AA4" s="4">
        <v>6.3257998101146601E-2</v>
      </c>
      <c r="AB4" s="4">
        <v>5.7053843318645298E-2</v>
      </c>
      <c r="AC4" s="4">
        <v>3.7703990373268902E-2</v>
      </c>
      <c r="AD4" s="4">
        <v>2.29774437587047E-2</v>
      </c>
      <c r="AE4" s="4">
        <v>3.20692789864582E-2</v>
      </c>
    </row>
    <row r="6" spans="1:31" x14ac:dyDescent="0.2">
      <c r="B6" t="s">
        <v>12</v>
      </c>
      <c r="C6" s="4">
        <v>5.6695059597448498</v>
      </c>
      <c r="D6" s="4">
        <v>5.0800575617731898</v>
      </c>
      <c r="E6" s="4">
        <v>4.1051697628146098</v>
      </c>
      <c r="F6" s="4">
        <v>3.0117521376553902</v>
      </c>
      <c r="G6" s="4">
        <v>1.9534378436637301</v>
      </c>
      <c r="H6" s="4">
        <v>1.03150610470647</v>
      </c>
      <c r="I6" s="4">
        <v>0.348156397369007</v>
      </c>
      <c r="J6" s="4">
        <v>0.19360724096791401</v>
      </c>
      <c r="K6" s="4">
        <v>0.38418809012073801</v>
      </c>
      <c r="L6" s="4">
        <v>0.39896296379776103</v>
      </c>
      <c r="M6" s="4">
        <v>0.28334919577481199</v>
      </c>
      <c r="N6" s="4">
        <v>0.124922754461524</v>
      </c>
      <c r="O6" s="4">
        <v>6.0418911382801102E-2</v>
      </c>
      <c r="P6" s="4">
        <v>0.11575560957929899</v>
      </c>
      <c r="Q6" s="4">
        <v>0.126075076819049</v>
      </c>
      <c r="R6" s="4">
        <v>8.9929038053980601E-2</v>
      </c>
      <c r="S6" s="4">
        <v>5.3366452837475403E-2</v>
      </c>
      <c r="T6" s="4">
        <v>8.2785352158816702E-2</v>
      </c>
      <c r="U6" s="4">
        <v>0.12232562587859901</v>
      </c>
      <c r="V6" s="4">
        <v>0.129053568720916</v>
      </c>
      <c r="W6" s="4">
        <v>0.10378582352362201</v>
      </c>
      <c r="X6" s="4">
        <v>6.6342963765988305E-2</v>
      </c>
      <c r="Y6" s="4">
        <v>5.1387181908290697E-2</v>
      </c>
      <c r="Z6" s="4">
        <v>6.3896794186213204E-2</v>
      </c>
      <c r="AA6" s="4">
        <v>7.3478698123004504E-2</v>
      </c>
      <c r="AB6" s="4">
        <v>6.9003278767807999E-2</v>
      </c>
      <c r="AC6" s="4">
        <v>5.71979593232773E-2</v>
      </c>
      <c r="AD6" s="4">
        <v>5.1777291433137397E-2</v>
      </c>
      <c r="AE6" s="4">
        <v>5.72784288296058E-2</v>
      </c>
    </row>
    <row r="8" spans="1:31" x14ac:dyDescent="0.2">
      <c r="B8" t="s">
        <v>13</v>
      </c>
    </row>
    <row r="10" spans="1:31" x14ac:dyDescent="0.2">
      <c r="A10" s="4">
        <v>5.6695059597448498</v>
      </c>
    </row>
    <row r="11" spans="1:31" x14ac:dyDescent="0.2">
      <c r="A11" s="4">
        <v>5.0800575617731898</v>
      </c>
    </row>
    <row r="12" spans="1:31" x14ac:dyDescent="0.2">
      <c r="A12" s="4">
        <v>4.1051697628146098</v>
      </c>
    </row>
    <row r="13" spans="1:31" x14ac:dyDescent="0.2">
      <c r="A13" s="4">
        <v>3.0117521376553902</v>
      </c>
    </row>
    <row r="14" spans="1:31" x14ac:dyDescent="0.2">
      <c r="A14" s="4">
        <v>1.9534378436637301</v>
      </c>
    </row>
    <row r="15" spans="1:31" x14ac:dyDescent="0.2">
      <c r="A15" s="4">
        <v>1.03150610470647</v>
      </c>
    </row>
    <row r="16" spans="1:31" x14ac:dyDescent="0.2">
      <c r="A16" s="4">
        <v>0.348156397369007</v>
      </c>
    </row>
    <row r="17" spans="1:1" x14ac:dyDescent="0.2">
      <c r="A17" s="4">
        <v>0.19360724096791401</v>
      </c>
    </row>
    <row r="18" spans="1:1" x14ac:dyDescent="0.2">
      <c r="A18" s="4">
        <v>0.38418809012073801</v>
      </c>
    </row>
    <row r="19" spans="1:1" x14ac:dyDescent="0.2">
      <c r="A19" s="4">
        <v>0.39896296379776103</v>
      </c>
    </row>
    <row r="20" spans="1:1" x14ac:dyDescent="0.2">
      <c r="A20" s="4">
        <v>0.28334919577481199</v>
      </c>
    </row>
    <row r="21" spans="1:1" x14ac:dyDescent="0.2">
      <c r="A21" s="4">
        <v>0.124922754461524</v>
      </c>
    </row>
    <row r="22" spans="1:1" x14ac:dyDescent="0.2">
      <c r="A22" s="4">
        <v>6.0418911382801102E-2</v>
      </c>
    </row>
    <row r="23" spans="1:1" x14ac:dyDescent="0.2">
      <c r="A23" s="4">
        <v>0.11575560957929899</v>
      </c>
    </row>
    <row r="24" spans="1:1" x14ac:dyDescent="0.2">
      <c r="A24" s="4">
        <v>0.126075076819049</v>
      </c>
    </row>
    <row r="25" spans="1:1" x14ac:dyDescent="0.2">
      <c r="A25" s="4">
        <v>8.9929038053980601E-2</v>
      </c>
    </row>
    <row r="26" spans="1:1" x14ac:dyDescent="0.2">
      <c r="A26" s="4">
        <v>5.3366452837475403E-2</v>
      </c>
    </row>
    <row r="27" spans="1:1" x14ac:dyDescent="0.2">
      <c r="A27" s="4">
        <v>8.2785352158816702E-2</v>
      </c>
    </row>
    <row r="28" spans="1:1" x14ac:dyDescent="0.2">
      <c r="A28" s="4">
        <v>0.12232562587859901</v>
      </c>
    </row>
    <row r="29" spans="1:1" x14ac:dyDescent="0.2">
      <c r="A29" s="4">
        <v>0.129053568720916</v>
      </c>
    </row>
    <row r="30" spans="1:1" x14ac:dyDescent="0.2">
      <c r="A30" s="4">
        <v>0.10378582352362201</v>
      </c>
    </row>
    <row r="31" spans="1:1" x14ac:dyDescent="0.2">
      <c r="A31" s="4">
        <v>6.6342963765988305E-2</v>
      </c>
    </row>
    <row r="32" spans="1:1" x14ac:dyDescent="0.2">
      <c r="A32" s="4">
        <v>5.1387181908290697E-2</v>
      </c>
    </row>
    <row r="33" spans="1:1" x14ac:dyDescent="0.2">
      <c r="A33" s="4">
        <v>6.3896794186213204E-2</v>
      </c>
    </row>
    <row r="34" spans="1:1" x14ac:dyDescent="0.2">
      <c r="A34" s="4">
        <v>7.3478698123004504E-2</v>
      </c>
    </row>
    <row r="35" spans="1:1" x14ac:dyDescent="0.2">
      <c r="A35" s="4">
        <v>6.9003278767807999E-2</v>
      </c>
    </row>
    <row r="36" spans="1:1" x14ac:dyDescent="0.2">
      <c r="A36" s="4">
        <v>5.71979593232773E-2</v>
      </c>
    </row>
    <row r="37" spans="1:1" x14ac:dyDescent="0.2">
      <c r="A37" s="4">
        <v>5.1777291433137397E-2</v>
      </c>
    </row>
    <row r="38" spans="1:1" x14ac:dyDescent="0.2">
      <c r="A38" s="4">
        <v>5.72784288296058E-2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7"/>
  <sheetViews>
    <sheetView topLeftCell="A8" zoomScale="90" zoomScaleNormal="90" workbookViewId="0">
      <selection activeCell="R27" sqref="R27"/>
    </sheetView>
  </sheetViews>
  <sheetFormatPr baseColWidth="10" defaultColWidth="8.83203125" defaultRowHeight="15" x14ac:dyDescent="0.2"/>
  <cols>
    <col min="15" max="15" width="17.33203125" bestFit="1" customWidth="1"/>
    <col min="16" max="16" width="13.1640625" bestFit="1" customWidth="1"/>
    <col min="17" max="17" width="13" bestFit="1" customWidth="1"/>
    <col min="18" max="18" width="14.5" bestFit="1" customWidth="1"/>
    <col min="19" max="19" width="11.83203125" bestFit="1" customWidth="1"/>
    <col min="20" max="21" width="17.5" customWidth="1"/>
    <col min="24" max="24" width="13.6640625" bestFit="1" customWidth="1"/>
  </cols>
  <sheetData>
    <row r="1" spans="1:24" x14ac:dyDescent="0.2">
      <c r="O1" s="1"/>
      <c r="T1" s="1"/>
      <c r="X1" s="1"/>
    </row>
    <row r="2" spans="1:24" x14ac:dyDescent="0.2">
      <c r="A2" t="s">
        <v>0</v>
      </c>
      <c r="C2" t="s">
        <v>1</v>
      </c>
      <c r="D2" t="s">
        <v>2</v>
      </c>
      <c r="E2" t="s">
        <v>3</v>
      </c>
      <c r="G2" t="s">
        <v>9</v>
      </c>
      <c r="H2" t="s">
        <v>15</v>
      </c>
      <c r="I2" t="s">
        <v>19</v>
      </c>
      <c r="K2" t="s">
        <v>16</v>
      </c>
      <c r="L2" t="s">
        <v>1</v>
      </c>
      <c r="M2" t="s">
        <v>14</v>
      </c>
      <c r="O2" t="s">
        <v>48</v>
      </c>
      <c r="P2" t="s">
        <v>72</v>
      </c>
      <c r="Q2" t="s">
        <v>74</v>
      </c>
      <c r="R2" t="s">
        <v>1</v>
      </c>
      <c r="S2" t="s">
        <v>14</v>
      </c>
      <c r="T2" t="s">
        <v>73</v>
      </c>
    </row>
    <row r="3" spans="1:24" x14ac:dyDescent="0.2">
      <c r="A3">
        <v>0.05</v>
      </c>
      <c r="C3" s="5">
        <v>1.6163179298460399E-3</v>
      </c>
      <c r="D3" s="5">
        <v>0.5</v>
      </c>
      <c r="F3" t="s">
        <v>47</v>
      </c>
      <c r="G3" s="5">
        <v>1.66794036567029E-3</v>
      </c>
      <c r="H3" s="5">
        <v>5.4999999999999902</v>
      </c>
      <c r="I3">
        <f>H3/0.1</f>
        <v>54.999999999999901</v>
      </c>
      <c r="O3">
        <f>100*(C3-G3)/C3</f>
        <v>-3.1938293123536194</v>
      </c>
    </row>
    <row r="4" spans="1:24" x14ac:dyDescent="0.2">
      <c r="A4">
        <v>0.1</v>
      </c>
      <c r="C4" s="5">
        <v>1.47752392055798E-2</v>
      </c>
      <c r="D4" s="5">
        <v>0.95</v>
      </c>
      <c r="G4" s="5">
        <v>1.37058353701055E-2</v>
      </c>
      <c r="H4" s="5">
        <v>1.4</v>
      </c>
      <c r="I4">
        <f t="shared" ref="I4:I9" si="0">H4/0.1</f>
        <v>13.999999999999998</v>
      </c>
      <c r="O4">
        <f t="shared" ref="O4:O42" si="1">100*(C4-G4)/C4</f>
        <v>7.2378106411329401</v>
      </c>
      <c r="Q4" s="5">
        <v>8.3843654566186695E-3</v>
      </c>
      <c r="R4" s="5">
        <v>5.0830615522081402E-3</v>
      </c>
      <c r="S4" s="5">
        <v>4.6084591989936901E-3</v>
      </c>
      <c r="T4">
        <f>100*(R4-S4)/R4</f>
        <v>9.3369389361078525</v>
      </c>
    </row>
    <row r="5" spans="1:24" x14ac:dyDescent="0.2">
      <c r="A5">
        <v>0.15</v>
      </c>
      <c r="C5" s="5">
        <v>2.8725903736543299E-2</v>
      </c>
      <c r="D5" s="5">
        <v>1.1000000000000001</v>
      </c>
      <c r="G5" s="5">
        <v>2.2867737119621E-2</v>
      </c>
      <c r="H5" s="5">
        <v>1.4</v>
      </c>
      <c r="I5">
        <f t="shared" si="0"/>
        <v>13.999999999999998</v>
      </c>
      <c r="O5">
        <f t="shared" si="1"/>
        <v>20.393323986078482</v>
      </c>
    </row>
    <row r="6" spans="1:24" x14ac:dyDescent="0.2">
      <c r="A6">
        <v>0.2</v>
      </c>
      <c r="C6" s="5">
        <v>5.3827322697220098E-2</v>
      </c>
      <c r="D6" s="5">
        <v>1.25</v>
      </c>
      <c r="G6" s="5">
        <v>4.6030304912093603E-2</v>
      </c>
      <c r="H6" s="5">
        <v>1.4</v>
      </c>
      <c r="I6">
        <f t="shared" si="0"/>
        <v>13.999999999999998</v>
      </c>
      <c r="O6">
        <f t="shared" si="1"/>
        <v>14.485241684757192</v>
      </c>
      <c r="Q6" s="5">
        <v>4.8994760609884197E-2</v>
      </c>
      <c r="R6" s="5">
        <v>1.80742279918376E-2</v>
      </c>
      <c r="S6" s="5">
        <v>1.5456512522564299E-2</v>
      </c>
      <c r="T6">
        <f t="shared" ref="T6:T37" si="2">100*(R6-S6)/R6</f>
        <v>14.483138480135763</v>
      </c>
    </row>
    <row r="7" spans="1:24" x14ac:dyDescent="0.2">
      <c r="A7">
        <v>0.25</v>
      </c>
      <c r="C7" s="5">
        <v>6.2178052065774397E-2</v>
      </c>
      <c r="D7" s="5">
        <v>1.4</v>
      </c>
      <c r="G7" s="5">
        <v>5.54139836112938E-2</v>
      </c>
      <c r="H7" s="5">
        <v>2.5</v>
      </c>
      <c r="I7">
        <f t="shared" si="0"/>
        <v>25</v>
      </c>
      <c r="O7">
        <f t="shared" si="1"/>
        <v>10.878546737561509</v>
      </c>
    </row>
    <row r="8" spans="1:24" x14ac:dyDescent="0.2">
      <c r="A8">
        <v>0.3</v>
      </c>
      <c r="C8" s="5">
        <v>8.7322762011909305E-2</v>
      </c>
      <c r="D8" s="5">
        <v>1.4</v>
      </c>
      <c r="G8" s="5">
        <v>7.2388052431793096E-2</v>
      </c>
      <c r="H8" s="5">
        <v>2.5</v>
      </c>
      <c r="I8">
        <f t="shared" si="0"/>
        <v>25</v>
      </c>
      <c r="O8">
        <f t="shared" si="1"/>
        <v>17.10288272613202</v>
      </c>
      <c r="Q8" s="5">
        <v>0.16606049963833799</v>
      </c>
      <c r="R8" s="5">
        <v>2.94586392654646E-2</v>
      </c>
      <c r="S8" s="5">
        <v>2.48542142556296E-2</v>
      </c>
      <c r="T8">
        <f t="shared" si="2"/>
        <v>15.630134740245554</v>
      </c>
    </row>
    <row r="9" spans="1:24" x14ac:dyDescent="0.2">
      <c r="A9">
        <v>0.35</v>
      </c>
      <c r="C9" s="5">
        <v>8.3196265144812806E-2</v>
      </c>
      <c r="D9" s="5">
        <v>1.45</v>
      </c>
      <c r="G9" s="5">
        <v>7.6446544745560799E-2</v>
      </c>
      <c r="H9" s="5">
        <v>0.7</v>
      </c>
      <c r="I9">
        <f t="shared" si="0"/>
        <v>6.9999999999999991</v>
      </c>
      <c r="O9">
        <f t="shared" si="1"/>
        <v>8.113008904309984</v>
      </c>
    </row>
    <row r="10" spans="1:24" x14ac:dyDescent="0.2">
      <c r="A10">
        <v>0.4</v>
      </c>
    </row>
    <row r="11" spans="1:24" x14ac:dyDescent="0.2">
      <c r="N11" t="s">
        <v>52</v>
      </c>
      <c r="O11">
        <f>SUM(O4:O9)/6</f>
        <v>13.035135779995352</v>
      </c>
      <c r="U11" s="5"/>
    </row>
    <row r="12" spans="1:24" x14ac:dyDescent="0.2">
      <c r="A12" t="s">
        <v>51</v>
      </c>
      <c r="C12" t="s">
        <v>1</v>
      </c>
      <c r="D12" t="s">
        <v>2</v>
      </c>
      <c r="E12" t="s">
        <v>3</v>
      </c>
      <c r="G12" t="s">
        <v>9</v>
      </c>
      <c r="H12" t="s">
        <v>15</v>
      </c>
      <c r="I12" t="s">
        <v>19</v>
      </c>
    </row>
    <row r="13" spans="1:24" x14ac:dyDescent="0.2">
      <c r="A13">
        <v>0.05</v>
      </c>
    </row>
    <row r="14" spans="1:24" x14ac:dyDescent="0.2">
      <c r="A14">
        <v>0.1</v>
      </c>
      <c r="C14" s="5">
        <v>4.4453607269764703E-2</v>
      </c>
      <c r="D14" s="5">
        <v>0.9</v>
      </c>
      <c r="G14" s="5">
        <v>4.2413829651985702E-2</v>
      </c>
      <c r="H14" s="5">
        <v>2.2000000000000002</v>
      </c>
      <c r="O14">
        <f t="shared" si="1"/>
        <v>4.5885536474030175</v>
      </c>
    </row>
    <row r="15" spans="1:24" x14ac:dyDescent="0.2">
      <c r="A15">
        <v>0.15</v>
      </c>
      <c r="O15" t="e">
        <f t="shared" si="1"/>
        <v>#DIV/0!</v>
      </c>
    </row>
    <row r="16" spans="1:24" x14ac:dyDescent="0.2">
      <c r="A16">
        <v>0.2</v>
      </c>
      <c r="C16" s="5">
        <v>0.16823504196251601</v>
      </c>
      <c r="D16" s="5">
        <v>1.25</v>
      </c>
      <c r="G16" s="5">
        <v>0.14441501098648701</v>
      </c>
      <c r="H16" s="5">
        <v>2.5</v>
      </c>
      <c r="O16">
        <f t="shared" si="1"/>
        <v>14.158780892589713</v>
      </c>
    </row>
    <row r="17" spans="1:15" x14ac:dyDescent="0.2">
      <c r="A17">
        <v>0.25</v>
      </c>
      <c r="O17" t="e">
        <f t="shared" si="1"/>
        <v>#DIV/0!</v>
      </c>
    </row>
    <row r="18" spans="1:15" x14ac:dyDescent="0.2">
      <c r="A18">
        <v>0.3</v>
      </c>
      <c r="C18" s="5">
        <v>0.25899696031542302</v>
      </c>
      <c r="D18" s="5">
        <v>1.45</v>
      </c>
      <c r="G18" s="5">
        <v>0.213618659223093</v>
      </c>
      <c r="H18" s="5">
        <v>0.7</v>
      </c>
      <c r="O18">
        <f t="shared" si="1"/>
        <v>17.520785200361203</v>
      </c>
    </row>
    <row r="19" spans="1:15" x14ac:dyDescent="0.2">
      <c r="A19">
        <v>0.35</v>
      </c>
      <c r="C19" s="5">
        <v>0.24234586512043799</v>
      </c>
      <c r="D19" s="5">
        <v>1.5</v>
      </c>
      <c r="G19" s="5">
        <v>0.23370288726833299</v>
      </c>
      <c r="H19" s="5">
        <v>0.7</v>
      </c>
      <c r="O19">
        <f t="shared" si="1"/>
        <v>3.5663813978463037</v>
      </c>
    </row>
    <row r="20" spans="1:15" x14ac:dyDescent="0.2">
      <c r="A20">
        <v>0.4</v>
      </c>
    </row>
    <row r="23" spans="1:15" x14ac:dyDescent="0.2">
      <c r="A23" t="s">
        <v>53</v>
      </c>
    </row>
    <row r="24" spans="1:15" x14ac:dyDescent="0.2">
      <c r="A24">
        <v>0.1</v>
      </c>
    </row>
    <row r="25" spans="1:15" x14ac:dyDescent="0.2">
      <c r="A25">
        <v>0.15</v>
      </c>
      <c r="O25" t="e">
        <f t="shared" si="1"/>
        <v>#DIV/0!</v>
      </c>
    </row>
    <row r="26" spans="1:15" x14ac:dyDescent="0.2">
      <c r="A26">
        <v>0.2</v>
      </c>
      <c r="C26" s="5">
        <v>6.9051597453153396E-2</v>
      </c>
      <c r="D26" s="5">
        <v>1.2999999999999901</v>
      </c>
      <c r="G26" s="5">
        <v>5.5966151286960697E-2</v>
      </c>
      <c r="H26" s="5">
        <v>2.5</v>
      </c>
      <c r="O26">
        <f t="shared" si="1"/>
        <v>18.950243946304418</v>
      </c>
    </row>
    <row r="27" spans="1:15" x14ac:dyDescent="0.2">
      <c r="A27">
        <v>0.25</v>
      </c>
      <c r="C27" s="5">
        <v>7.6414244627393393E-2</v>
      </c>
      <c r="D27" s="5">
        <v>1.3999999999999899</v>
      </c>
      <c r="G27" s="5">
        <v>6.5761982880852499E-2</v>
      </c>
      <c r="H27" s="5">
        <v>2.5</v>
      </c>
      <c r="O27">
        <f t="shared" si="1"/>
        <v>13.940151863677801</v>
      </c>
    </row>
    <row r="28" spans="1:15" x14ac:dyDescent="0.2">
      <c r="A28">
        <v>0.3</v>
      </c>
      <c r="C28" s="5">
        <v>9.8632536846806701E-2</v>
      </c>
      <c r="D28" s="5">
        <v>1.44999999999999</v>
      </c>
      <c r="G28" s="5">
        <v>7.9355324820488099E-2</v>
      </c>
      <c r="H28" s="5">
        <v>0.7</v>
      </c>
      <c r="O28">
        <f t="shared" si="1"/>
        <v>19.544475527644014</v>
      </c>
    </row>
    <row r="29" spans="1:15" x14ac:dyDescent="0.2">
      <c r="A29">
        <v>0.35</v>
      </c>
      <c r="O29" t="e">
        <f t="shared" si="1"/>
        <v>#DIV/0!</v>
      </c>
    </row>
    <row r="30" spans="1:15" x14ac:dyDescent="0.2">
      <c r="O30" t="e">
        <f t="shared" si="1"/>
        <v>#DIV/0!</v>
      </c>
    </row>
    <row r="32" spans="1:15" x14ac:dyDescent="0.2">
      <c r="A32" t="s">
        <v>54</v>
      </c>
    </row>
    <row r="33" spans="1:20" x14ac:dyDescent="0.2">
      <c r="A33">
        <v>0.1</v>
      </c>
      <c r="C33" s="5">
        <v>2.7273964020530599E-2</v>
      </c>
      <c r="D33" s="5">
        <v>0.7</v>
      </c>
      <c r="G33" s="5">
        <v>1.9969263392339599E-2</v>
      </c>
      <c r="H33" s="5">
        <v>1.4</v>
      </c>
      <c r="O33">
        <f>100*(C33-G33)/C33</f>
        <v>26.782687777590208</v>
      </c>
      <c r="Q33" s="5">
        <v>1.2562598438117901E-2</v>
      </c>
      <c r="R33" s="5">
        <v>9.6048357480047909E-3</v>
      </c>
      <c r="S33" s="5">
        <v>6.8093285082833997E-3</v>
      </c>
      <c r="T33">
        <f t="shared" si="2"/>
        <v>29.105206096857</v>
      </c>
    </row>
    <row r="34" spans="1:20" x14ac:dyDescent="0.2">
      <c r="A34">
        <v>0.15</v>
      </c>
      <c r="C34" s="5">
        <v>6.8702597780333802E-2</v>
      </c>
      <c r="D34" s="5">
        <v>1</v>
      </c>
      <c r="G34" s="5">
        <v>4.2570745439205998E-2</v>
      </c>
      <c r="H34" s="5">
        <v>1.4</v>
      </c>
      <c r="O34">
        <f t="shared" si="1"/>
        <v>38.036192495486794</v>
      </c>
      <c r="T34" t="e">
        <f t="shared" si="2"/>
        <v>#DIV/0!</v>
      </c>
    </row>
    <row r="35" spans="1:20" x14ac:dyDescent="0.2">
      <c r="A35">
        <v>0.2</v>
      </c>
      <c r="C35" s="5">
        <v>0.12356132040982699</v>
      </c>
      <c r="D35" s="5">
        <v>1.65</v>
      </c>
      <c r="G35" s="5">
        <v>9.1355830559159801E-2</v>
      </c>
      <c r="H35" s="5">
        <v>2.5</v>
      </c>
      <c r="O35">
        <f t="shared" si="1"/>
        <v>26.064378192016996</v>
      </c>
      <c r="Q35" s="5">
        <v>9.2870556512968994E-2</v>
      </c>
      <c r="R35" s="5">
        <v>4.2548806859218302E-2</v>
      </c>
      <c r="S35" s="5">
        <v>3.16531971851228E-2</v>
      </c>
      <c r="T35">
        <f t="shared" si="2"/>
        <v>25.607321281994874</v>
      </c>
    </row>
    <row r="36" spans="1:20" x14ac:dyDescent="0.2">
      <c r="A36">
        <v>0.25</v>
      </c>
      <c r="C36" s="5">
        <v>0.13322180982161899</v>
      </c>
      <c r="D36" s="5">
        <v>1.65</v>
      </c>
      <c r="G36" s="5">
        <v>0.104196752872392</v>
      </c>
      <c r="H36" s="5">
        <v>0.7</v>
      </c>
      <c r="I36" t="s">
        <v>65</v>
      </c>
      <c r="O36">
        <f t="shared" si="1"/>
        <v>21.787015945880704</v>
      </c>
      <c r="P36" t="s">
        <v>71</v>
      </c>
      <c r="T36" t="e">
        <f t="shared" si="2"/>
        <v>#DIV/0!</v>
      </c>
    </row>
    <row r="37" spans="1:20" x14ac:dyDescent="0.2">
      <c r="A37">
        <v>0.3</v>
      </c>
      <c r="C37" s="5">
        <v>0.13521089569549599</v>
      </c>
      <c r="D37" s="5">
        <v>1.75</v>
      </c>
      <c r="G37" s="5">
        <v>0.107854243364796</v>
      </c>
      <c r="H37" s="5">
        <v>0.7</v>
      </c>
      <c r="M37" s="5"/>
      <c r="O37">
        <f t="shared" si="1"/>
        <v>20.232579771018607</v>
      </c>
      <c r="Q37" s="5" t="s">
        <v>75</v>
      </c>
      <c r="R37" s="5">
        <v>4.5413454683954503E-2</v>
      </c>
      <c r="S37" s="5">
        <v>3.4793499703875699E-2</v>
      </c>
      <c r="T37">
        <f t="shared" si="2"/>
        <v>23.385040961948771</v>
      </c>
    </row>
    <row r="38" spans="1:20" x14ac:dyDescent="0.2">
      <c r="A38">
        <v>0.35</v>
      </c>
      <c r="C38" s="5">
        <v>0.12624496805994401</v>
      </c>
      <c r="D38" s="5">
        <v>1.45</v>
      </c>
      <c r="E38" t="s">
        <v>67</v>
      </c>
      <c r="G38" s="5">
        <v>9.5607013421205506E-2</v>
      </c>
      <c r="H38" s="5">
        <v>0.7</v>
      </c>
      <c r="O38">
        <f t="shared" si="1"/>
        <v>24.268654117121642</v>
      </c>
    </row>
    <row r="40" spans="1:20" x14ac:dyDescent="0.2">
      <c r="N40" t="s">
        <v>56</v>
      </c>
      <c r="O40" t="e">
        <f t="shared" si="1"/>
        <v>#DIV/0!</v>
      </c>
    </row>
    <row r="41" spans="1:20" x14ac:dyDescent="0.2">
      <c r="A41" t="s">
        <v>55</v>
      </c>
      <c r="O41" t="e">
        <f t="shared" si="1"/>
        <v>#DIV/0!</v>
      </c>
    </row>
    <row r="42" spans="1:20" x14ac:dyDescent="0.2">
      <c r="A42">
        <v>0.1</v>
      </c>
      <c r="O42" t="e">
        <f t="shared" si="1"/>
        <v>#DIV/0!</v>
      </c>
    </row>
    <row r="43" spans="1:20" x14ac:dyDescent="0.2">
      <c r="A43">
        <v>0.15</v>
      </c>
    </row>
    <row r="44" spans="1:20" x14ac:dyDescent="0.2">
      <c r="A44">
        <v>0.2</v>
      </c>
    </row>
    <row r="45" spans="1:20" x14ac:dyDescent="0.2">
      <c r="A45">
        <v>0.25</v>
      </c>
    </row>
    <row r="46" spans="1:20" x14ac:dyDescent="0.2">
      <c r="A46">
        <v>0.3</v>
      </c>
    </row>
    <row r="47" spans="1:20" x14ac:dyDescent="0.2">
      <c r="A47">
        <v>0.35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35"/>
  <sheetViews>
    <sheetView zoomScaleNormal="100" workbookViewId="0">
      <selection activeCell="U18" sqref="U18"/>
    </sheetView>
  </sheetViews>
  <sheetFormatPr baseColWidth="10" defaultColWidth="8.83203125" defaultRowHeight="15" x14ac:dyDescent="0.2"/>
  <sheetData>
    <row r="1" spans="1:41" x14ac:dyDescent="0.2">
      <c r="A1" t="s">
        <v>60</v>
      </c>
    </row>
    <row r="2" spans="1:41" x14ac:dyDescent="0.2">
      <c r="B2" t="s">
        <v>62</v>
      </c>
      <c r="C2">
        <v>0.05</v>
      </c>
      <c r="D2">
        <v>0.1</v>
      </c>
      <c r="E2">
        <v>0.15</v>
      </c>
      <c r="F2">
        <v>0.2</v>
      </c>
      <c r="G2">
        <v>0.25</v>
      </c>
      <c r="H2">
        <v>0.3</v>
      </c>
      <c r="I2">
        <v>0.35</v>
      </c>
      <c r="J2">
        <v>0.4</v>
      </c>
      <c r="K2">
        <v>0.45</v>
      </c>
      <c r="L2">
        <v>0.5</v>
      </c>
      <c r="M2">
        <v>0.55000000000000004</v>
      </c>
      <c r="N2">
        <v>0.6</v>
      </c>
      <c r="O2">
        <v>0.65</v>
      </c>
      <c r="P2">
        <v>0.7</v>
      </c>
      <c r="Q2">
        <v>0.75</v>
      </c>
      <c r="R2">
        <v>0.8</v>
      </c>
      <c r="S2">
        <v>0.85</v>
      </c>
      <c r="T2">
        <v>0.9</v>
      </c>
      <c r="U2">
        <v>0.95</v>
      </c>
      <c r="V2">
        <v>1</v>
      </c>
      <c r="W2">
        <v>1.05</v>
      </c>
      <c r="X2">
        <v>1.1000000000000001</v>
      </c>
      <c r="Y2">
        <v>1.1499999999999999</v>
      </c>
      <c r="Z2">
        <v>1.2</v>
      </c>
      <c r="AA2">
        <v>1.25</v>
      </c>
      <c r="AB2">
        <v>1.3</v>
      </c>
      <c r="AC2">
        <v>1.35</v>
      </c>
      <c r="AD2">
        <v>1.4</v>
      </c>
      <c r="AE2">
        <v>1.45</v>
      </c>
      <c r="AF2">
        <v>1.5</v>
      </c>
      <c r="AG2">
        <v>1.55</v>
      </c>
      <c r="AH2">
        <v>1.6</v>
      </c>
      <c r="AI2">
        <v>1.65</v>
      </c>
      <c r="AJ2">
        <v>1.7</v>
      </c>
      <c r="AK2">
        <v>1.75</v>
      </c>
      <c r="AL2">
        <v>1.8</v>
      </c>
      <c r="AM2">
        <v>1.85</v>
      </c>
      <c r="AN2">
        <v>1.9</v>
      </c>
      <c r="AO2">
        <v>1.95</v>
      </c>
    </row>
    <row r="3" spans="1:41" x14ac:dyDescent="0.2">
      <c r="B3" t="s">
        <v>59</v>
      </c>
    </row>
    <row r="4" spans="1:41" x14ac:dyDescent="0.2">
      <c r="B4" t="s">
        <v>10</v>
      </c>
    </row>
    <row r="5" spans="1:41" x14ac:dyDescent="0.2">
      <c r="B5" t="s">
        <v>12</v>
      </c>
    </row>
    <row r="6" spans="1:41" x14ac:dyDescent="0.2">
      <c r="B6" t="s">
        <v>13</v>
      </c>
    </row>
    <row r="7" spans="1:41" x14ac:dyDescent="0.2">
      <c r="B7" t="s">
        <v>63</v>
      </c>
    </row>
    <row r="8" spans="1:41" x14ac:dyDescent="0.2">
      <c r="B8" t="s">
        <v>10</v>
      </c>
    </row>
    <row r="9" spans="1:41" x14ac:dyDescent="0.2">
      <c r="B9" t="s">
        <v>12</v>
      </c>
    </row>
    <row r="10" spans="1:41" x14ac:dyDescent="0.2">
      <c r="B10" t="s">
        <v>13</v>
      </c>
    </row>
    <row r="11" spans="1:41" x14ac:dyDescent="0.2">
      <c r="A11" s="4"/>
    </row>
    <row r="12" spans="1:41" x14ac:dyDescent="0.2">
      <c r="A12" s="4" t="s">
        <v>61</v>
      </c>
    </row>
    <row r="13" spans="1:41" x14ac:dyDescent="0.2">
      <c r="A13" s="4"/>
      <c r="B13" t="s">
        <v>11</v>
      </c>
      <c r="C13">
        <v>0.1</v>
      </c>
      <c r="D13">
        <v>0.2</v>
      </c>
      <c r="E13">
        <v>0.3</v>
      </c>
      <c r="F13">
        <v>0.4</v>
      </c>
      <c r="G13">
        <v>0.5</v>
      </c>
      <c r="H13">
        <v>0.6</v>
      </c>
      <c r="I13">
        <v>0.7</v>
      </c>
      <c r="J13">
        <v>0.8</v>
      </c>
      <c r="K13">
        <v>0.9</v>
      </c>
      <c r="L13">
        <v>1</v>
      </c>
      <c r="M13">
        <v>1.1000000000000001</v>
      </c>
      <c r="N13">
        <v>1.2</v>
      </c>
      <c r="O13">
        <v>1.3</v>
      </c>
      <c r="P13">
        <v>1.4</v>
      </c>
      <c r="Q13">
        <v>1.5</v>
      </c>
      <c r="R13">
        <v>1.6</v>
      </c>
      <c r="S13">
        <v>1.7</v>
      </c>
      <c r="T13">
        <v>1.8</v>
      </c>
      <c r="U13">
        <v>1.9</v>
      </c>
      <c r="V13">
        <v>2</v>
      </c>
      <c r="W13">
        <v>2.1</v>
      </c>
      <c r="X13">
        <v>2.2000000000000002</v>
      </c>
      <c r="Y13">
        <v>2.2999999999999998</v>
      </c>
      <c r="Z13">
        <v>2.4</v>
      </c>
      <c r="AA13">
        <v>2.5</v>
      </c>
      <c r="AB13">
        <v>2.6</v>
      </c>
      <c r="AC13">
        <v>2.7</v>
      </c>
      <c r="AD13">
        <v>2.8</v>
      </c>
      <c r="AE13">
        <v>2.9</v>
      </c>
      <c r="AF13">
        <v>3</v>
      </c>
      <c r="AH13" t="s">
        <v>41</v>
      </c>
    </row>
    <row r="14" spans="1:41" x14ac:dyDescent="0.2">
      <c r="A14" s="4"/>
      <c r="B14" t="s">
        <v>59</v>
      </c>
    </row>
    <row r="15" spans="1:41" x14ac:dyDescent="0.2">
      <c r="A15" s="4"/>
      <c r="B15" t="s">
        <v>10</v>
      </c>
      <c r="C15" s="5">
        <v>0.51333786000000003</v>
      </c>
      <c r="D15" s="5">
        <v>0.42543343</v>
      </c>
      <c r="E15" s="4">
        <v>0.33461592000000001</v>
      </c>
      <c r="F15" s="5">
        <v>0.25144856999999998</v>
      </c>
      <c r="G15" s="5">
        <v>0.17444696000000001</v>
      </c>
      <c r="H15" s="5">
        <v>0.10827784</v>
      </c>
      <c r="I15" s="5">
        <v>6.1517090000000003E-2</v>
      </c>
      <c r="J15" s="5">
        <v>3.8221119999999997E-2</v>
      </c>
      <c r="K15" s="5">
        <v>2.698447E-2</v>
      </c>
      <c r="L15" s="5">
        <v>2.6181900000000001E-2</v>
      </c>
      <c r="M15" s="5">
        <v>2.2492669999999999E-2</v>
      </c>
      <c r="N15" s="5">
        <v>1.6654510000000001E-2</v>
      </c>
      <c r="O15" s="5">
        <v>1.3788949999999999E-2</v>
      </c>
      <c r="P15" s="5">
        <v>1.370584E-2</v>
      </c>
      <c r="Q15" s="5">
        <v>1.414546E-2</v>
      </c>
      <c r="R15" s="5">
        <v>1.470137E-2</v>
      </c>
      <c r="S15" s="5">
        <v>1.563378E-2</v>
      </c>
      <c r="T15" s="5">
        <v>1.7115789999999999E-2</v>
      </c>
      <c r="U15" s="5">
        <v>1.8072479999999998E-2</v>
      </c>
      <c r="V15" s="5">
        <v>1.753004E-2</v>
      </c>
      <c r="W15" s="5">
        <v>1.580436E-2</v>
      </c>
      <c r="X15" s="5">
        <v>1.450362E-2</v>
      </c>
      <c r="Y15" s="5">
        <v>1.4611229999999999E-2</v>
      </c>
      <c r="Z15" s="5">
        <v>1.51878E-2</v>
      </c>
      <c r="AA15" s="5">
        <v>1.5422989999999999E-2</v>
      </c>
      <c r="AB15" s="5">
        <v>1.513685E-2</v>
      </c>
      <c r="AC15" s="5">
        <v>1.461316E-2</v>
      </c>
      <c r="AD15" s="5">
        <v>1.431925E-2</v>
      </c>
      <c r="AE15" s="5">
        <v>1.447121E-2</v>
      </c>
      <c r="AH15" s="4">
        <f>MIN(C15:AE15)</f>
        <v>1.370584E-2</v>
      </c>
    </row>
    <row r="16" spans="1:41" x14ac:dyDescent="0.2">
      <c r="A16" s="4"/>
      <c r="B16" t="s">
        <v>12</v>
      </c>
      <c r="C16" s="5">
        <v>0.38942157999999999</v>
      </c>
      <c r="D16" s="5">
        <v>0.33020612999999999</v>
      </c>
      <c r="E16" s="5">
        <v>0.26016665</v>
      </c>
      <c r="F16" s="5">
        <v>0.19152150000000001</v>
      </c>
      <c r="G16" s="5">
        <v>0.13064661</v>
      </c>
      <c r="H16" s="5">
        <v>8.3610690000000001E-2</v>
      </c>
      <c r="I16" s="5" t="s">
        <v>58</v>
      </c>
      <c r="J16" s="5">
        <v>5.5003240000000002E-2</v>
      </c>
      <c r="K16" s="5">
        <v>5.5957420000000001E-2</v>
      </c>
      <c r="L16" s="5">
        <v>5.6383000000000003E-2</v>
      </c>
      <c r="M16" s="5">
        <v>5.3796860000000002E-2</v>
      </c>
      <c r="N16" s="5">
        <v>5.0136399999999998E-2</v>
      </c>
      <c r="O16" s="5">
        <v>4.7386980000000002E-2</v>
      </c>
      <c r="P16" s="5">
        <v>4.6033490000000003E-2</v>
      </c>
      <c r="Q16" s="5">
        <v>4.6045009999999997E-2</v>
      </c>
      <c r="R16" s="5">
        <v>4.7073490000000003E-2</v>
      </c>
      <c r="S16" s="5">
        <v>4.855723E-2</v>
      </c>
      <c r="T16" s="5">
        <v>4.9911959999999998E-2</v>
      </c>
      <c r="U16" s="5">
        <v>5.0579239999999998E-2</v>
      </c>
      <c r="V16" s="5">
        <v>5.034077E-2</v>
      </c>
      <c r="W16" s="5">
        <v>4.9421119999999999E-2</v>
      </c>
      <c r="X16" s="5">
        <v>4.8292660000000001E-2</v>
      </c>
      <c r="Y16" s="5">
        <v>4.736812E-2</v>
      </c>
      <c r="Z16" s="5">
        <v>4.6750949999999999E-2</v>
      </c>
      <c r="AA16" s="5">
        <v>4.6492409999999998E-2</v>
      </c>
      <c r="AB16" s="5">
        <v>4.6586580000000002E-2</v>
      </c>
      <c r="AC16" s="5">
        <v>4.6946130000000003E-2</v>
      </c>
      <c r="AD16" s="5">
        <v>4.7455329999999997E-2</v>
      </c>
      <c r="AE16" s="5">
        <v>4.7965290000000001E-2</v>
      </c>
      <c r="AH16" s="4">
        <f t="shared" ref="AH16:AH17" si="0">MIN(C16:AE16)</f>
        <v>4.6033490000000003E-2</v>
      </c>
    </row>
    <row r="17" spans="1:34" x14ac:dyDescent="0.2">
      <c r="A17" s="4"/>
      <c r="B17" t="s">
        <v>13</v>
      </c>
      <c r="C17" s="5">
        <v>0.23721461999999999</v>
      </c>
      <c r="D17" s="5">
        <v>0.20522842999999999</v>
      </c>
      <c r="E17" s="5">
        <v>0.16612252</v>
      </c>
      <c r="F17" s="5">
        <v>0.12900111</v>
      </c>
      <c r="G17" s="5">
        <v>9.906479E-2</v>
      </c>
      <c r="H17" s="5">
        <v>8.0117389999999997E-2</v>
      </c>
      <c r="I17" s="5">
        <v>7.2992169999999995E-2</v>
      </c>
      <c r="J17" s="5">
        <v>7.3383240000000002E-2</v>
      </c>
      <c r="K17" s="5">
        <v>7.5540510000000005E-2</v>
      </c>
      <c r="L17" s="5">
        <v>7.627188E-2</v>
      </c>
      <c r="M17" s="5">
        <v>7.5460550000000001E-2</v>
      </c>
      <c r="N17" s="5">
        <v>7.4193690000000007E-2</v>
      </c>
      <c r="O17" s="5">
        <v>7.318289E-2</v>
      </c>
      <c r="P17" s="5">
        <v>7.2642960000000006E-2</v>
      </c>
      <c r="Q17" s="5">
        <v>7.2593270000000001E-2</v>
      </c>
      <c r="R17" s="5">
        <v>7.2960479999999994E-2</v>
      </c>
      <c r="S17" s="5">
        <v>7.3551740000000004E-2</v>
      </c>
      <c r="T17" s="5">
        <v>7.4093350000000002E-2</v>
      </c>
      <c r="U17" s="5">
        <v>7.4339760000000005E-2</v>
      </c>
      <c r="V17" s="5">
        <v>7.4227570000000007E-2</v>
      </c>
      <c r="W17" s="5">
        <v>7.3829859999999997E-2</v>
      </c>
      <c r="X17" s="5">
        <v>7.3303850000000004E-2</v>
      </c>
      <c r="Y17" s="5">
        <v>7.2826829999999995E-2</v>
      </c>
      <c r="Z17" s="5">
        <v>7.2506899999999999E-2</v>
      </c>
      <c r="AA17" s="5">
        <v>7.2387720000000003E-2</v>
      </c>
      <c r="AB17" s="5">
        <v>7.2455450000000005E-2</v>
      </c>
      <c r="AC17" s="5">
        <v>7.2659710000000002E-2</v>
      </c>
      <c r="AD17" s="5">
        <v>7.2924669999999997E-2</v>
      </c>
      <c r="AE17" s="5">
        <v>7.3171929999999996E-2</v>
      </c>
      <c r="AH17" s="4">
        <f t="shared" si="0"/>
        <v>7.2387720000000003E-2</v>
      </c>
    </row>
    <row r="18" spans="1:34" x14ac:dyDescent="0.2">
      <c r="A18" s="4"/>
      <c r="B18" t="s">
        <v>63</v>
      </c>
    </row>
    <row r="19" spans="1:34" ht="16" x14ac:dyDescent="0.2">
      <c r="A19" s="4"/>
      <c r="B19" t="s">
        <v>10</v>
      </c>
      <c r="C19" s="7">
        <v>2.3433020500000001</v>
      </c>
      <c r="D19" s="7">
        <v>2.0510284599999999</v>
      </c>
      <c r="E19" s="7">
        <v>1.6524372000000001</v>
      </c>
      <c r="F19" s="7">
        <v>1.2341239100000001</v>
      </c>
      <c r="G19" s="7">
        <v>0.84873746999999999</v>
      </c>
      <c r="H19" s="7">
        <v>0.52385590000000004</v>
      </c>
      <c r="I19" s="7">
        <v>0.28108455999999998</v>
      </c>
      <c r="J19" s="7">
        <v>0.15455882000000001</v>
      </c>
      <c r="K19" s="7">
        <v>9.505044E-2</v>
      </c>
    </row>
    <row r="20" spans="1:34" ht="16" x14ac:dyDescent="0.2">
      <c r="A20" s="4"/>
      <c r="B20" t="s">
        <v>12</v>
      </c>
      <c r="C20" s="7">
        <v>1.6570048799999999</v>
      </c>
      <c r="D20" s="7">
        <v>1.43453355</v>
      </c>
      <c r="E20" s="7">
        <v>1.1361613100000001</v>
      </c>
      <c r="F20" s="7">
        <v>0.82464139000000003</v>
      </c>
      <c r="G20" s="7">
        <v>0.54111410999999998</v>
      </c>
      <c r="H20" s="7">
        <v>0.30484296999999999</v>
      </c>
      <c r="I20" s="7">
        <v>0.14211956000000001</v>
      </c>
      <c r="J20" s="7">
        <v>0.11167320999999999</v>
      </c>
      <c r="K20" s="7">
        <v>0.14389640000000001</v>
      </c>
      <c r="L20" s="7">
        <v>0.16278328</v>
      </c>
      <c r="M20" s="7">
        <v>0.15028569</v>
      </c>
      <c r="N20" s="7">
        <v>0.12440387</v>
      </c>
      <c r="O20" s="7">
        <v>0.10361231</v>
      </c>
      <c r="P20" s="7">
        <v>9.516579E-2</v>
      </c>
      <c r="Q20" s="7">
        <v>9.6847710000000004E-2</v>
      </c>
      <c r="R20" s="7">
        <v>0.10436891</v>
      </c>
      <c r="S20" s="7">
        <v>0.1147833</v>
      </c>
      <c r="T20" s="7">
        <v>0.12489748000000001</v>
      </c>
      <c r="U20" s="7">
        <v>0.13036787</v>
      </c>
      <c r="V20" s="7">
        <v>0.12818723000000001</v>
      </c>
      <c r="W20" s="7">
        <v>0.11929634</v>
      </c>
      <c r="X20" s="7">
        <v>0.10785347000000001</v>
      </c>
      <c r="Y20" s="7">
        <v>9.8187540000000004E-2</v>
      </c>
      <c r="Z20" s="7">
        <v>9.2271510000000001E-2</v>
      </c>
      <c r="AA20" s="7">
        <v>9.0088840000000003E-2</v>
      </c>
      <c r="AB20" s="7">
        <v>9.1154429999999995E-2</v>
      </c>
      <c r="AC20" s="7">
        <v>9.4952289999999995E-2</v>
      </c>
      <c r="AD20" s="7">
        <v>0.10048264</v>
      </c>
      <c r="AE20" s="7">
        <v>0.1059996</v>
      </c>
    </row>
    <row r="21" spans="1:34" ht="16" x14ac:dyDescent="0.2">
      <c r="A21" s="4"/>
      <c r="B21" t="s">
        <v>13</v>
      </c>
      <c r="C21" s="8">
        <v>0.97596117000000004</v>
      </c>
      <c r="D21">
        <v>0.83444326999999996</v>
      </c>
      <c r="E21">
        <v>0.64950426999999999</v>
      </c>
      <c r="F21" s="7">
        <v>0.46060938000000001</v>
      </c>
      <c r="G21" s="7">
        <v>0.29192005999999998</v>
      </c>
      <c r="H21">
        <v>0.15868092</v>
      </c>
      <c r="I21" s="7">
        <v>9.8514320000000002E-2</v>
      </c>
      <c r="J21" s="7">
        <v>0.12396241</v>
      </c>
      <c r="K21" s="7">
        <v>0.15810389</v>
      </c>
      <c r="L21" s="7">
        <v>0.17021965</v>
      </c>
      <c r="M21" s="7">
        <v>0.16358586999999999</v>
      </c>
      <c r="N21" s="7">
        <v>0.14968725999999999</v>
      </c>
      <c r="O21" s="7">
        <v>0.13812933999999999</v>
      </c>
      <c r="P21" s="7">
        <v>0.13255501</v>
      </c>
      <c r="Q21" s="7">
        <v>0.13263427</v>
      </c>
      <c r="R21" s="7">
        <v>0.13676637</v>
      </c>
      <c r="S21" s="7">
        <v>0.14299439</v>
      </c>
      <c r="T21" s="7">
        <v>0.14894060000000001</v>
      </c>
      <c r="U21" s="7">
        <v>0.15210212000000001</v>
      </c>
      <c r="V21" s="7">
        <v>0.15100063999999999</v>
      </c>
      <c r="W21" s="7">
        <v>0.14614779999999999</v>
      </c>
      <c r="X21" s="7">
        <v>0.13963689000000001</v>
      </c>
      <c r="Y21" s="7">
        <v>0.13370338000000001</v>
      </c>
      <c r="Z21" s="7">
        <v>0.12977727999999999</v>
      </c>
      <c r="AA21" s="7">
        <v>0.12833670999999999</v>
      </c>
      <c r="AB21" s="7">
        <v>0.12920555</v>
      </c>
      <c r="AC21" s="7">
        <v>0.13181011000000001</v>
      </c>
      <c r="AD21" s="7">
        <v>0.13525180000000001</v>
      </c>
      <c r="AE21" s="7">
        <v>0.13844577</v>
      </c>
    </row>
    <row r="22" spans="1:34" x14ac:dyDescent="0.2">
      <c r="A22" s="4"/>
    </row>
    <row r="23" spans="1:34" x14ac:dyDescent="0.2">
      <c r="A23" s="4"/>
    </row>
    <row r="24" spans="1:34" x14ac:dyDescent="0.2">
      <c r="A24" s="4"/>
    </row>
    <row r="25" spans="1:34" x14ac:dyDescent="0.2">
      <c r="A25" s="4"/>
    </row>
    <row r="26" spans="1:34" x14ac:dyDescent="0.2">
      <c r="A26" s="4"/>
    </row>
    <row r="27" spans="1:34" x14ac:dyDescent="0.2">
      <c r="A27" s="4"/>
    </row>
    <row r="28" spans="1:34" x14ac:dyDescent="0.2">
      <c r="A28" s="4"/>
    </row>
    <row r="29" spans="1:34" x14ac:dyDescent="0.2">
      <c r="A29" s="4"/>
    </row>
    <row r="30" spans="1:34" x14ac:dyDescent="0.2">
      <c r="A30" s="4"/>
    </row>
    <row r="31" spans="1:34" x14ac:dyDescent="0.2">
      <c r="A31" s="4"/>
      <c r="C31" s="5"/>
    </row>
    <row r="32" spans="1:34" x14ac:dyDescent="0.2">
      <c r="A32" s="4"/>
      <c r="C32" s="5"/>
    </row>
    <row r="33" spans="3:3" x14ac:dyDescent="0.2">
      <c r="C33" s="5"/>
    </row>
    <row r="34" spans="3:3" x14ac:dyDescent="0.2">
      <c r="C34" s="5"/>
    </row>
    <row r="35" spans="3:3" x14ac:dyDescent="0.2">
      <c r="C35" s="5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2"/>
  <sheetViews>
    <sheetView zoomScaleNormal="100" workbookViewId="0">
      <selection activeCell="P12" sqref="P12"/>
    </sheetView>
  </sheetViews>
  <sheetFormatPr baseColWidth="10" defaultColWidth="8.83203125" defaultRowHeight="15" x14ac:dyDescent="0.2"/>
  <cols>
    <col min="5" max="5" width="14.5" bestFit="1" customWidth="1"/>
    <col min="10" max="10" width="11.6640625" customWidth="1"/>
    <col min="14" max="14" width="13.1640625" bestFit="1" customWidth="1"/>
    <col min="15" max="15" width="12.83203125" bestFit="1" customWidth="1"/>
    <col min="16" max="16" width="14" bestFit="1" customWidth="1"/>
    <col min="18" max="18" width="13.6640625" bestFit="1" customWidth="1"/>
    <col min="19" max="19" width="12.1640625" customWidth="1"/>
  </cols>
  <sheetData>
    <row r="1" spans="1:19" x14ac:dyDescent="0.2">
      <c r="L1" s="1"/>
      <c r="O1" s="1"/>
      <c r="P1" s="1"/>
      <c r="S1" s="1"/>
    </row>
    <row r="2" spans="1:19" x14ac:dyDescent="0.2">
      <c r="A2" t="s">
        <v>0</v>
      </c>
      <c r="C2" t="s">
        <v>1</v>
      </c>
      <c r="D2" t="s">
        <v>2</v>
      </c>
      <c r="G2" t="s">
        <v>14</v>
      </c>
      <c r="H2" t="s">
        <v>15</v>
      </c>
      <c r="I2" t="s">
        <v>19</v>
      </c>
      <c r="L2" t="s">
        <v>46</v>
      </c>
      <c r="N2" t="s">
        <v>72</v>
      </c>
      <c r="O2" t="s">
        <v>74</v>
      </c>
      <c r="P2" t="s">
        <v>1</v>
      </c>
      <c r="Q2" t="s">
        <v>14</v>
      </c>
      <c r="R2" t="s">
        <v>73</v>
      </c>
    </row>
    <row r="3" spans="1:19" x14ac:dyDescent="0.2">
      <c r="A3">
        <v>0.05</v>
      </c>
      <c r="C3" s="5">
        <v>7.6124809307006203E-3</v>
      </c>
      <c r="D3" s="5">
        <v>0.95</v>
      </c>
      <c r="G3" s="5">
        <v>7.05271445883971E-3</v>
      </c>
      <c r="H3" s="5">
        <v>0.65</v>
      </c>
      <c r="I3">
        <f>H3/0.05</f>
        <v>13</v>
      </c>
      <c r="L3">
        <f>100*(C3-G3)/G3</f>
        <v>7.9368940161658177</v>
      </c>
    </row>
    <row r="4" spans="1:19" x14ac:dyDescent="0.2">
      <c r="A4">
        <v>0.1</v>
      </c>
      <c r="C4" s="5">
        <v>2.96112604544959E-2</v>
      </c>
      <c r="D4" s="5">
        <v>1.35</v>
      </c>
      <c r="G4" s="5">
        <v>2.41746991744121E-2</v>
      </c>
      <c r="H4" s="5">
        <v>0.75</v>
      </c>
      <c r="I4">
        <f t="shared" ref="I4:I9" si="0">H4/0.05</f>
        <v>15</v>
      </c>
      <c r="L4">
        <f t="shared" ref="L4:L9" si="1">100*(C4-G4)/G4</f>
        <v>22.488640875573626</v>
      </c>
      <c r="O4" s="5">
        <v>2.6003319856697599E-2</v>
      </c>
      <c r="P4" s="5">
        <v>9.9335843578749299E-3</v>
      </c>
      <c r="Q4">
        <v>8.0366908183114403E-3</v>
      </c>
      <c r="R4">
        <f>100*(P4-Q4)/P4</f>
        <v>19.095761119295389</v>
      </c>
    </row>
    <row r="5" spans="1:19" x14ac:dyDescent="0.2">
      <c r="A5">
        <v>0.15</v>
      </c>
      <c r="C5" s="5">
        <v>4.4819545215445199E-2</v>
      </c>
      <c r="D5" s="5">
        <v>1.4</v>
      </c>
      <c r="G5" s="5">
        <v>3.6381742181796399E-2</v>
      </c>
      <c r="H5" s="5">
        <v>0.75</v>
      </c>
      <c r="I5">
        <f t="shared" si="0"/>
        <v>15</v>
      </c>
      <c r="L5">
        <f t="shared" si="1"/>
        <v>23.192410609381575</v>
      </c>
      <c r="R5" t="e">
        <f t="shared" ref="R5:R21" si="2">100*(P5-Q5)/P5</f>
        <v>#DIV/0!</v>
      </c>
    </row>
    <row r="6" spans="1:19" x14ac:dyDescent="0.2">
      <c r="A6">
        <v>0.2</v>
      </c>
      <c r="C6" s="5">
        <v>3.418375498785E-2</v>
      </c>
      <c r="D6" s="5">
        <v>1.25</v>
      </c>
      <c r="G6" s="5">
        <v>2.7892114298772301E-2</v>
      </c>
      <c r="H6" s="5">
        <v>0.4</v>
      </c>
      <c r="I6">
        <f t="shared" si="0"/>
        <v>8</v>
      </c>
      <c r="L6">
        <f t="shared" si="1"/>
        <v>22.55705903712947</v>
      </c>
      <c r="O6" s="5">
        <v>9.2968148320138694E-2</v>
      </c>
      <c r="P6" s="5">
        <v>1.1674742030895101E-2</v>
      </c>
      <c r="Q6" s="5">
        <v>9.6147625735780902E-3</v>
      </c>
      <c r="R6">
        <f t="shared" si="2"/>
        <v>17.644753536015152</v>
      </c>
    </row>
    <row r="7" spans="1:19" x14ac:dyDescent="0.2">
      <c r="A7">
        <v>0.25</v>
      </c>
      <c r="C7" s="5">
        <v>6.9930617971265902E-2</v>
      </c>
      <c r="D7" s="5">
        <v>1.5</v>
      </c>
      <c r="G7" s="5">
        <v>6.2260688735969197E-2</v>
      </c>
      <c r="H7" s="5">
        <v>0.2</v>
      </c>
      <c r="I7">
        <f t="shared" si="0"/>
        <v>4</v>
      </c>
      <c r="L7">
        <f t="shared" si="1"/>
        <v>12.319056199045287</v>
      </c>
      <c r="R7" t="e">
        <f t="shared" si="2"/>
        <v>#DIV/0!</v>
      </c>
    </row>
    <row r="8" spans="1:19" x14ac:dyDescent="0.2">
      <c r="A8">
        <v>0.3</v>
      </c>
      <c r="C8" s="5">
        <v>7.0447275712074903E-2</v>
      </c>
      <c r="D8" s="5">
        <v>1.45</v>
      </c>
      <c r="G8" s="5">
        <v>6.46887473824935E-2</v>
      </c>
      <c r="H8" s="5">
        <v>0.25</v>
      </c>
      <c r="I8">
        <f t="shared" si="0"/>
        <v>5</v>
      </c>
      <c r="L8">
        <f t="shared" si="1"/>
        <v>8.9019011228215774</v>
      </c>
      <c r="O8" s="5">
        <v>0.13007046276055201</v>
      </c>
      <c r="P8" s="5">
        <v>2.2758800700756501E-2</v>
      </c>
      <c r="Q8" s="5">
        <v>2.03968011864109E-2</v>
      </c>
      <c r="R8">
        <f t="shared" si="2"/>
        <v>10.378400625772377</v>
      </c>
    </row>
    <row r="9" spans="1:19" x14ac:dyDescent="0.2">
      <c r="A9">
        <v>0.35</v>
      </c>
      <c r="C9" s="5">
        <v>7.6862222794224694E-2</v>
      </c>
      <c r="D9" s="5">
        <v>1.4</v>
      </c>
      <c r="G9" s="5">
        <v>7.0390372028505399E-2</v>
      </c>
      <c r="H9" s="5">
        <v>0.75</v>
      </c>
      <c r="I9">
        <f t="shared" si="0"/>
        <v>15</v>
      </c>
      <c r="L9">
        <f t="shared" si="1"/>
        <v>9.1942272490028092</v>
      </c>
      <c r="R9" t="e">
        <f t="shared" si="2"/>
        <v>#DIV/0!</v>
      </c>
    </row>
    <row r="10" spans="1:19" x14ac:dyDescent="0.2">
      <c r="R10" t="e">
        <f t="shared" si="2"/>
        <v>#DIV/0!</v>
      </c>
    </row>
    <row r="11" spans="1:19" x14ac:dyDescent="0.2">
      <c r="A11" s="2"/>
      <c r="K11" t="s">
        <v>52</v>
      </c>
      <c r="L11">
        <f>SUM(L4:L9)/6</f>
        <v>16.442215848825725</v>
      </c>
      <c r="R11" t="e">
        <f t="shared" si="2"/>
        <v>#DIV/0!</v>
      </c>
    </row>
    <row r="12" spans="1:19" x14ac:dyDescent="0.2">
      <c r="R12" t="e">
        <f t="shared" si="2"/>
        <v>#DIV/0!</v>
      </c>
    </row>
    <row r="13" spans="1:19" x14ac:dyDescent="0.2">
      <c r="A13" t="s">
        <v>54</v>
      </c>
      <c r="R13" t="e">
        <f t="shared" si="2"/>
        <v>#DIV/0!</v>
      </c>
    </row>
    <row r="14" spans="1:19" x14ac:dyDescent="0.2">
      <c r="A14">
        <v>0.1</v>
      </c>
      <c r="C14" s="5">
        <v>6.0330523846789601E-2</v>
      </c>
      <c r="D14" s="5">
        <v>1.75</v>
      </c>
      <c r="G14" s="5">
        <v>3.7385345586673099E-2</v>
      </c>
      <c r="H14" s="5">
        <v>0.75</v>
      </c>
      <c r="I14">
        <f>H14/0.05</f>
        <v>15</v>
      </c>
      <c r="L14">
        <f t="shared" ref="L14:L19" si="3">100*(C14-G14)/C14</f>
        <v>38.032453221169064</v>
      </c>
      <c r="O14" s="5">
        <v>4.9863117331302102E-2</v>
      </c>
      <c r="P14" s="5">
        <v>2.0697972627073E-2</v>
      </c>
      <c r="Q14">
        <v>1.28283833063514E-2</v>
      </c>
      <c r="R14">
        <f t="shared" si="2"/>
        <v>38.021063524009875</v>
      </c>
    </row>
    <row r="15" spans="1:19" x14ac:dyDescent="0.2">
      <c r="A15">
        <v>0.15</v>
      </c>
      <c r="C15" s="5">
        <v>7.3643930299202201E-2</v>
      </c>
      <c r="D15" s="5">
        <v>1.45</v>
      </c>
      <c r="E15" t="s">
        <v>68</v>
      </c>
      <c r="G15" s="5">
        <v>4.9345841456074499E-2</v>
      </c>
      <c r="H15" s="5">
        <v>0.35</v>
      </c>
      <c r="L15">
        <f t="shared" si="3"/>
        <v>32.994014230920165</v>
      </c>
      <c r="R15" t="e">
        <f t="shared" si="2"/>
        <v>#DIV/0!</v>
      </c>
    </row>
    <row r="16" spans="1:19" x14ac:dyDescent="0.2">
      <c r="A16">
        <v>0.2</v>
      </c>
      <c r="C16" s="5">
        <v>4.8351510537330201E-2</v>
      </c>
      <c r="D16" s="5">
        <v>1.35</v>
      </c>
      <c r="G16" s="5">
        <v>4.26789430749452E-2</v>
      </c>
      <c r="H16" s="5">
        <v>1.35</v>
      </c>
      <c r="L16">
        <f t="shared" si="3"/>
        <v>11.731934327068123</v>
      </c>
      <c r="O16" s="5">
        <v>0.16522119432507601</v>
      </c>
      <c r="P16" s="5">
        <v>1.6256749585161701E-2</v>
      </c>
      <c r="Q16" s="5">
        <v>1.45399593938848E-2</v>
      </c>
      <c r="R16">
        <f t="shared" si="2"/>
        <v>10.560476325746547</v>
      </c>
    </row>
    <row r="17" spans="1:18" x14ac:dyDescent="0.2">
      <c r="A17">
        <v>0.25</v>
      </c>
      <c r="C17" s="5">
        <v>8.8431111959027295E-2</v>
      </c>
      <c r="D17" s="5">
        <v>1.45</v>
      </c>
      <c r="E17" t="s">
        <v>68</v>
      </c>
      <c r="G17" s="5">
        <v>8.2788997674791601E-2</v>
      </c>
      <c r="H17" s="5">
        <v>0.8</v>
      </c>
      <c r="L17">
        <f t="shared" si="3"/>
        <v>6.3802367280531875</v>
      </c>
      <c r="R17" t="e">
        <f t="shared" si="2"/>
        <v>#DIV/0!</v>
      </c>
    </row>
    <row r="18" spans="1:18" x14ac:dyDescent="0.2">
      <c r="A18">
        <v>0.3</v>
      </c>
      <c r="C18" s="5">
        <v>0.11066768058285301</v>
      </c>
      <c r="D18" s="5">
        <v>1.35</v>
      </c>
      <c r="G18" s="5">
        <v>0.10111885884334799</v>
      </c>
      <c r="H18" s="5">
        <v>0.75</v>
      </c>
      <c r="L18">
        <f t="shared" si="3"/>
        <v>8.6283743268262896</v>
      </c>
      <c r="O18" s="5">
        <v>0.18722758947597301</v>
      </c>
      <c r="P18" s="5">
        <v>3.6267673635725702E-2</v>
      </c>
      <c r="Q18" s="5">
        <v>3.3147335982831899E-2</v>
      </c>
      <c r="R18">
        <f t="shared" si="2"/>
        <v>8.6036333188464944</v>
      </c>
    </row>
    <row r="19" spans="1:18" x14ac:dyDescent="0.2">
      <c r="A19">
        <v>0.35</v>
      </c>
      <c r="C19" s="5">
        <v>0.159775115516128</v>
      </c>
      <c r="D19" s="5">
        <v>1.3</v>
      </c>
      <c r="G19" s="5">
        <v>0.14947721643377801</v>
      </c>
      <c r="H19" s="5">
        <v>0.75</v>
      </c>
      <c r="L19">
        <f t="shared" si="3"/>
        <v>6.4452459002043403</v>
      </c>
      <c r="R19" t="e">
        <f t="shared" si="2"/>
        <v>#DIV/0!</v>
      </c>
    </row>
    <row r="20" spans="1:18" x14ac:dyDescent="0.2">
      <c r="R20" t="e">
        <f t="shared" si="2"/>
        <v>#DIV/0!</v>
      </c>
    </row>
    <row r="21" spans="1:18" x14ac:dyDescent="0.2">
      <c r="R21" t="e">
        <f t="shared" si="2"/>
        <v>#DIV/0!</v>
      </c>
    </row>
    <row r="22" spans="1:18" x14ac:dyDescent="0.2">
      <c r="D22" t="s">
        <v>64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G36"/>
  <sheetViews>
    <sheetView topLeftCell="A13" zoomScale="70" zoomScaleNormal="70" workbookViewId="0">
      <selection activeCell="AA25" sqref="AA25"/>
    </sheetView>
  </sheetViews>
  <sheetFormatPr baseColWidth="10" defaultColWidth="8.83203125" defaultRowHeight="15" x14ac:dyDescent="0.2"/>
  <cols>
    <col min="2" max="2" width="10.83203125" bestFit="1" customWidth="1"/>
  </cols>
  <sheetData>
    <row r="2" spans="1:33" x14ac:dyDescent="0.2">
      <c r="B2" t="s">
        <v>6</v>
      </c>
      <c r="C2">
        <v>0.05</v>
      </c>
      <c r="D2">
        <v>0.1</v>
      </c>
      <c r="E2">
        <v>0.15</v>
      </c>
      <c r="F2">
        <v>0.2</v>
      </c>
      <c r="G2">
        <v>0.25</v>
      </c>
      <c r="H2">
        <v>0.3</v>
      </c>
      <c r="I2">
        <v>0.35</v>
      </c>
      <c r="J2">
        <v>0.4</v>
      </c>
      <c r="K2">
        <v>0.45</v>
      </c>
      <c r="L2">
        <v>0.5</v>
      </c>
      <c r="M2">
        <v>0.55000000000000004</v>
      </c>
      <c r="N2">
        <v>0.6</v>
      </c>
      <c r="O2">
        <v>0.65</v>
      </c>
      <c r="P2">
        <v>0.7</v>
      </c>
      <c r="Q2">
        <v>0.75</v>
      </c>
      <c r="R2">
        <v>0.8</v>
      </c>
      <c r="S2">
        <v>0.85</v>
      </c>
      <c r="T2">
        <v>0.9</v>
      </c>
      <c r="U2">
        <v>0.95</v>
      </c>
      <c r="V2">
        <v>1</v>
      </c>
      <c r="W2">
        <v>1.05</v>
      </c>
      <c r="X2">
        <v>1.1000000000000001</v>
      </c>
      <c r="Y2">
        <v>1.1499999999999999</v>
      </c>
      <c r="Z2">
        <v>1.2</v>
      </c>
      <c r="AA2">
        <v>1.25</v>
      </c>
      <c r="AB2">
        <v>1.3</v>
      </c>
      <c r="AC2">
        <v>1.35</v>
      </c>
      <c r="AD2">
        <v>1.4</v>
      </c>
      <c r="AE2">
        <v>1.45</v>
      </c>
      <c r="AG2" t="s">
        <v>38</v>
      </c>
    </row>
    <row r="4" spans="1:33" ht="16" x14ac:dyDescent="0.2">
      <c r="B4" s="1" t="s">
        <v>32</v>
      </c>
      <c r="C4" s="4">
        <v>4.0651866681720801</v>
      </c>
      <c r="D4" s="4">
        <v>3.5763620280301698</v>
      </c>
      <c r="E4" s="4">
        <v>2.86532132425685</v>
      </c>
      <c r="F4" s="4">
        <v>2.05481619057689</v>
      </c>
      <c r="G4" s="4">
        <v>1.2587748490649999</v>
      </c>
      <c r="H4" s="4">
        <v>0.57116693768668103</v>
      </c>
      <c r="I4" s="4">
        <v>0.13209789944995201</v>
      </c>
      <c r="J4" s="4">
        <v>0.29930016674903398</v>
      </c>
      <c r="K4" s="4">
        <v>0.42202969394522999</v>
      </c>
      <c r="L4" s="4">
        <v>0.38955060341028902</v>
      </c>
      <c r="M4" s="4">
        <v>0.263317183960533</v>
      </c>
      <c r="N4" s="4">
        <v>0.11499660066489301</v>
      </c>
      <c r="O4" s="4">
        <v>6.1874048619420002E-2</v>
      </c>
      <c r="P4" s="4">
        <v>0.113474430344656</v>
      </c>
      <c r="Q4" s="4">
        <v>0.12685367631309499</v>
      </c>
      <c r="R4" s="4">
        <v>9.4273407831899497E-2</v>
      </c>
      <c r="S4" s="4">
        <v>4.2870759584123598E-2</v>
      </c>
      <c r="T4" s="4">
        <v>5.2423417340601797E-2</v>
      </c>
      <c r="U4" s="4">
        <v>8.8849901655733199E-2</v>
      </c>
      <c r="V4" s="4">
        <v>0.101740683136851</v>
      </c>
      <c r="W4" s="4">
        <v>8.9668757167722907E-2</v>
      </c>
      <c r="X4" s="4">
        <v>6.3246253237789707E-2</v>
      </c>
      <c r="Y4" s="4">
        <v>3.9843934508113202E-2</v>
      </c>
      <c r="Z4" s="4">
        <v>3.7390713541898601E-2</v>
      </c>
      <c r="AA4" s="4">
        <v>4.1935893425834501E-2</v>
      </c>
      <c r="AB4" s="4">
        <v>4.0241877018071803E-2</v>
      </c>
      <c r="AC4" s="4">
        <v>3.6980514670220503E-2</v>
      </c>
      <c r="AD4" s="4">
        <v>4.2112944450798398E-2</v>
      </c>
      <c r="AE4" s="4">
        <v>5.1936252718024302E-2</v>
      </c>
      <c r="AG4" s="4">
        <f>MIN(C4:AE4)</f>
        <v>3.6980514670220503E-2</v>
      </c>
    </row>
    <row r="5" spans="1:33" x14ac:dyDescent="0.2">
      <c r="B5" t="s">
        <v>33</v>
      </c>
      <c r="C5" s="4">
        <v>1.9941101460794799</v>
      </c>
      <c r="D5" s="4">
        <v>1.7640400634785001</v>
      </c>
      <c r="E5" s="4">
        <v>1.4224182938054299</v>
      </c>
      <c r="F5" s="4">
        <v>1.0215849345222401</v>
      </c>
      <c r="G5" s="4">
        <v>0.62009249011629397</v>
      </c>
      <c r="H5" s="4">
        <v>0.27243603876489902</v>
      </c>
      <c r="I5" s="4">
        <v>6.02694983075205E-2</v>
      </c>
      <c r="J5" s="4">
        <v>0.181239732285286</v>
      </c>
      <c r="K5" s="4">
        <v>0.24007473992417</v>
      </c>
      <c r="L5" s="4">
        <v>0.224234829347735</v>
      </c>
      <c r="M5" s="4">
        <v>0.16413667741943799</v>
      </c>
      <c r="N5" s="4">
        <v>9.5683657601666E-2</v>
      </c>
      <c r="O5" s="4">
        <v>6.0236421418933303E-2</v>
      </c>
      <c r="P5" s="4">
        <v>7.3261267646100803E-2</v>
      </c>
      <c r="Q5" s="4">
        <v>7.8346452842229505E-2</v>
      </c>
      <c r="R5" s="4">
        <v>6.7960823954645005E-2</v>
      </c>
      <c r="S5" s="4">
        <v>6.0139717858670901E-2</v>
      </c>
      <c r="T5" s="4">
        <v>7.1228369172165698E-2</v>
      </c>
      <c r="U5" s="4">
        <v>8.5636541257673296E-2</v>
      </c>
      <c r="V5" s="4">
        <v>9.1212872248199503E-2</v>
      </c>
      <c r="W5" s="4">
        <v>8.6615564044957793E-2</v>
      </c>
      <c r="X5" s="4">
        <v>7.6339476172607001E-2</v>
      </c>
      <c r="Y5" s="4">
        <v>6.6769864309298696E-2</v>
      </c>
      <c r="Z5" s="4">
        <v>6.1866093681042802E-2</v>
      </c>
      <c r="AA5" s="4">
        <v>6.0609925972953498E-2</v>
      </c>
      <c r="AB5" s="4">
        <v>6.10906415101845E-2</v>
      </c>
      <c r="AC5" s="4">
        <v>6.3378116258112502E-2</v>
      </c>
      <c r="AD5" s="4">
        <v>6.74794117882202E-2</v>
      </c>
      <c r="AE5" s="4">
        <v>7.1632566288030594E-2</v>
      </c>
      <c r="AG5" s="4">
        <f t="shared" ref="AG5:AG9" si="0">MIN(C5:AE5)</f>
        <v>6.0139717858670901E-2</v>
      </c>
    </row>
    <row r="6" spans="1:33" x14ac:dyDescent="0.2">
      <c r="B6" t="s">
        <v>34</v>
      </c>
      <c r="C6" s="4">
        <v>1.5048528675820001</v>
      </c>
      <c r="D6" s="4">
        <v>1.3306272834598101</v>
      </c>
      <c r="E6" s="4">
        <v>1.0727239026114901</v>
      </c>
      <c r="F6" s="4">
        <v>0.77095315564070499</v>
      </c>
      <c r="G6" s="4">
        <v>0.46875644105631697</v>
      </c>
      <c r="H6" s="4">
        <v>0.205660960156898</v>
      </c>
      <c r="I6" s="4">
        <v>3.1221416696792299E-2</v>
      </c>
      <c r="J6" s="4">
        <v>0.124036128575397</v>
      </c>
      <c r="K6" s="4">
        <v>0.16964590528978701</v>
      </c>
      <c r="L6" s="4">
        <v>0.157524408473356</v>
      </c>
      <c r="M6" s="4">
        <v>0.111037372143692</v>
      </c>
      <c r="N6" s="4">
        <v>5.7400422472365403E-2</v>
      </c>
      <c r="O6" s="4">
        <v>3.4014450251652999E-2</v>
      </c>
      <c r="P6" s="4">
        <v>4.84107150571043E-2</v>
      </c>
      <c r="Q6" s="4">
        <v>5.3151064018003499E-2</v>
      </c>
      <c r="R6" s="4">
        <v>4.4346271374759903E-2</v>
      </c>
      <c r="S6" s="4">
        <v>3.5319146215256399E-2</v>
      </c>
      <c r="T6" s="4">
        <v>3.9622706266641203E-2</v>
      </c>
      <c r="U6" s="4">
        <v>4.9998294311749798E-2</v>
      </c>
      <c r="V6" s="4">
        <v>5.4237413369956501E-2</v>
      </c>
      <c r="W6" s="4">
        <v>5.0845312906740402E-2</v>
      </c>
      <c r="X6" s="4">
        <v>4.3259836942817702E-2</v>
      </c>
      <c r="Y6" s="4">
        <v>3.6666933757562803E-2</v>
      </c>
      <c r="Z6" s="4">
        <v>3.4288327433909402E-2</v>
      </c>
      <c r="AA6" s="4">
        <v>3.4019947055398202E-2</v>
      </c>
      <c r="AB6" s="4">
        <v>3.40357790775749E-2</v>
      </c>
      <c r="AC6" s="4">
        <v>3.4771830281760098E-2</v>
      </c>
      <c r="AD6" s="4">
        <v>3.7021648345423298E-2</v>
      </c>
      <c r="AE6" s="4">
        <v>3.9796296375923801E-2</v>
      </c>
      <c r="AG6" s="4">
        <f t="shared" si="0"/>
        <v>3.1221416696792299E-2</v>
      </c>
    </row>
    <row r="7" spans="1:33" x14ac:dyDescent="0.2">
      <c r="B7" t="s">
        <v>35</v>
      </c>
      <c r="C7" s="4">
        <v>0.27831776701812</v>
      </c>
      <c r="D7" s="4">
        <v>0.25294015466572001</v>
      </c>
      <c r="E7" s="4">
        <v>0.215407361332911</v>
      </c>
      <c r="F7" s="4">
        <v>0.171973518266264</v>
      </c>
      <c r="G7" s="4">
        <v>0.13097892264674399</v>
      </c>
      <c r="H7" s="4">
        <v>0.100992820852791</v>
      </c>
      <c r="I7" s="4">
        <v>8.68962226543048E-2</v>
      </c>
      <c r="J7" s="4">
        <v>8.5134289076507802E-2</v>
      </c>
      <c r="K7" s="4">
        <v>8.6146727873904996E-2</v>
      </c>
      <c r="L7" s="4">
        <v>8.5882698277654698E-2</v>
      </c>
      <c r="M7" s="4">
        <v>8.5596385631149394E-2</v>
      </c>
      <c r="N7" s="4">
        <v>8.6650308539345994E-2</v>
      </c>
      <c r="O7" s="4">
        <v>8.8454586845531702E-2</v>
      </c>
      <c r="P7" s="4">
        <v>8.9847327817302494E-2</v>
      </c>
      <c r="Q7" s="4">
        <v>9.0145861976615602E-2</v>
      </c>
      <c r="R7" s="4">
        <v>8.9519030804551897E-2</v>
      </c>
      <c r="S7" s="4">
        <v>8.8527819864069296E-2</v>
      </c>
      <c r="T7" s="4">
        <v>8.7666445070637006E-2</v>
      </c>
      <c r="U7" s="4">
        <v>8.7098918738616304E-2</v>
      </c>
      <c r="V7" s="4">
        <v>8.6840677260033597E-2</v>
      </c>
      <c r="W7" s="4">
        <v>8.6848104253277394E-2</v>
      </c>
      <c r="X7" s="4">
        <v>8.7063599707232903E-2</v>
      </c>
      <c r="Y7" s="4">
        <v>8.7387705364947693E-2</v>
      </c>
      <c r="Z7" s="4">
        <v>8.7676643030096396E-2</v>
      </c>
      <c r="AA7" s="4">
        <v>8.7808655582647804E-2</v>
      </c>
      <c r="AB7" s="4">
        <v>8.7748129199676506E-2</v>
      </c>
      <c r="AC7" s="4">
        <v>8.7558644819935694E-2</v>
      </c>
      <c r="AD7" s="4">
        <v>8.7345272041694497E-2</v>
      </c>
      <c r="AE7" s="4">
        <v>8.7199266668255601E-2</v>
      </c>
      <c r="AG7" s="4">
        <f t="shared" si="0"/>
        <v>8.5134289076507802E-2</v>
      </c>
    </row>
    <row r="8" spans="1:33" x14ac:dyDescent="0.2">
      <c r="A8" s="4">
        <v>0.46256257169713499</v>
      </c>
      <c r="B8" t="s">
        <v>36</v>
      </c>
      <c r="C8" s="4">
        <v>0.48982981968919198</v>
      </c>
      <c r="D8" s="4">
        <v>0.43411503585894801</v>
      </c>
      <c r="E8" s="4">
        <v>0.35434554564526199</v>
      </c>
      <c r="F8" s="4">
        <v>0.26390202089674802</v>
      </c>
      <c r="G8" s="4">
        <v>0.17753183780860299</v>
      </c>
      <c r="H8" s="4">
        <v>0.11230643385318299</v>
      </c>
      <c r="I8" s="4">
        <v>8.5041843503328607E-2</v>
      </c>
      <c r="J8" s="4">
        <v>9.13693449251331E-2</v>
      </c>
      <c r="K8" s="4">
        <v>9.8008154610133402E-2</v>
      </c>
      <c r="L8" s="4">
        <v>9.56984604322247E-2</v>
      </c>
      <c r="M8" s="4">
        <v>8.9365487017222495E-2</v>
      </c>
      <c r="N8" s="4">
        <v>8.5453435753460497E-2</v>
      </c>
      <c r="O8" s="4">
        <v>8.5861245224451099E-2</v>
      </c>
      <c r="P8" s="4">
        <v>8.7650871770169295E-2</v>
      </c>
      <c r="Q8" s="4">
        <v>8.8139726585807807E-2</v>
      </c>
      <c r="R8" s="4">
        <v>8.7136764086237398E-2</v>
      </c>
      <c r="S8" s="4">
        <v>8.5880781066141207E-2</v>
      </c>
      <c r="T8" s="4">
        <v>8.5257957022547098E-2</v>
      </c>
      <c r="U8" s="4">
        <v>8.5264315367046706E-2</v>
      </c>
      <c r="V8" s="4">
        <v>8.5309947002647102E-2</v>
      </c>
      <c r="W8" s="4">
        <v>8.5145427395812795E-2</v>
      </c>
      <c r="X8" s="4">
        <v>8.4984382055153199E-2</v>
      </c>
      <c r="Y8" s="4">
        <v>8.5015660370080501E-2</v>
      </c>
      <c r="Z8" s="4">
        <v>8.5178800108016803E-2</v>
      </c>
      <c r="AA8" s="4">
        <v>8.5285990608045203E-2</v>
      </c>
      <c r="AB8" s="4">
        <v>8.5235127289411905E-2</v>
      </c>
      <c r="AC8" s="4">
        <v>8.5104612553762601E-2</v>
      </c>
      <c r="AD8" s="4">
        <v>8.4987848541942398E-2</v>
      </c>
      <c r="AE8" s="4">
        <v>8.4952190484172796E-2</v>
      </c>
      <c r="AG8" s="4">
        <f t="shared" si="0"/>
        <v>8.4952190484172796E-2</v>
      </c>
    </row>
    <row r="9" spans="1:33" ht="16" x14ac:dyDescent="0.2">
      <c r="A9" s="4">
        <v>0.40823099231692</v>
      </c>
      <c r="B9" s="1" t="s">
        <v>37</v>
      </c>
      <c r="C9" s="4">
        <v>0.46256257169713499</v>
      </c>
      <c r="D9" s="4">
        <v>0.40823099231692</v>
      </c>
      <c r="E9" s="4">
        <v>0.33171593343762601</v>
      </c>
      <c r="F9" s="4">
        <v>0.24578006675952599</v>
      </c>
      <c r="G9" s="4">
        <v>0.16564947006710101</v>
      </c>
      <c r="H9" s="4">
        <v>0.107904526291945</v>
      </c>
      <c r="I9" s="4">
        <v>8.6099097147462306E-2</v>
      </c>
      <c r="J9" s="4">
        <v>9.2672533613795197E-2</v>
      </c>
      <c r="K9" s="4">
        <v>9.8043066022696093E-2</v>
      </c>
      <c r="L9" s="4">
        <v>9.5973257632801706E-2</v>
      </c>
      <c r="M9" s="4">
        <v>9.04261509476149E-2</v>
      </c>
      <c r="N9" s="4">
        <v>8.64815353957578E-2</v>
      </c>
      <c r="O9" s="4">
        <v>8.5818309306578106E-2</v>
      </c>
      <c r="P9" s="4">
        <v>8.6605594720606804E-2</v>
      </c>
      <c r="Q9" s="4">
        <v>8.6771844895660505E-2</v>
      </c>
      <c r="R9" s="4">
        <v>8.6081039028725007E-2</v>
      </c>
      <c r="S9" s="4">
        <v>8.5509522509213495E-2</v>
      </c>
      <c r="T9" s="4">
        <v>8.5570020987361994E-2</v>
      </c>
      <c r="U9" s="4">
        <v>8.59532982318926E-2</v>
      </c>
      <c r="V9" s="4">
        <v>8.6075603266067599E-2</v>
      </c>
      <c r="W9" s="4">
        <v>8.5813181626934798E-2</v>
      </c>
      <c r="X9" s="4">
        <v>8.5427527752765298E-2</v>
      </c>
      <c r="Y9" s="4">
        <v>8.5207766622695399E-2</v>
      </c>
      <c r="Z9" s="4">
        <v>8.5196219424635997E-2</v>
      </c>
      <c r="AA9" s="4">
        <v>8.5232201657387194E-2</v>
      </c>
      <c r="AB9" s="4">
        <v>8.5223263104289196E-2</v>
      </c>
      <c r="AC9" s="4">
        <v>8.5203370796806205E-2</v>
      </c>
      <c r="AD9" s="4">
        <v>8.5218165643586294E-2</v>
      </c>
      <c r="AE9" s="4">
        <v>8.5291757496991999E-2</v>
      </c>
      <c r="AG9" s="4">
        <f t="shared" si="0"/>
        <v>8.5196219424635997E-2</v>
      </c>
    </row>
    <row r="10" spans="1:33" x14ac:dyDescent="0.2">
      <c r="A10" s="4">
        <v>0.33171593343762601</v>
      </c>
      <c r="C10" s="4"/>
    </row>
    <row r="11" spans="1:33" x14ac:dyDescent="0.2">
      <c r="A11" s="4">
        <v>0.24578006675952599</v>
      </c>
      <c r="B11" t="s">
        <v>39</v>
      </c>
      <c r="C11" s="4"/>
    </row>
    <row r="12" spans="1:33" ht="16" x14ac:dyDescent="0.2">
      <c r="A12" s="4">
        <v>0.16564947006710101</v>
      </c>
      <c r="B12" s="1" t="s">
        <v>32</v>
      </c>
      <c r="C12">
        <f>C4/$AG$4 - 1</f>
        <v>108.92780128735403</v>
      </c>
      <c r="D12">
        <f t="shared" ref="D12:AE12" si="1">D4/$AG$4 - 1</f>
        <v>95.709363293694935</v>
      </c>
      <c r="E12">
        <f t="shared" si="1"/>
        <v>76.48192121739784</v>
      </c>
      <c r="F12">
        <f t="shared" si="1"/>
        <v>54.564834856978962</v>
      </c>
      <c r="G12">
        <f t="shared" si="1"/>
        <v>33.038867773753843</v>
      </c>
      <c r="H12">
        <f t="shared" si="1"/>
        <v>14.445078111544719</v>
      </c>
      <c r="I12">
        <f t="shared" si="1"/>
        <v>2.5720946727744489</v>
      </c>
      <c r="J12">
        <f t="shared" si="1"/>
        <v>7.0934559569570581</v>
      </c>
      <c r="K12">
        <f t="shared" si="1"/>
        <v>10.412217966914346</v>
      </c>
      <c r="L12">
        <f t="shared" si="1"/>
        <v>9.5339421823673138</v>
      </c>
      <c r="M12">
        <f t="shared" si="1"/>
        <v>6.1204304836940473</v>
      </c>
      <c r="N12">
        <f t="shared" si="1"/>
        <v>2.1096538728677277</v>
      </c>
      <c r="O12">
        <f t="shared" si="1"/>
        <v>0.67315271761876394</v>
      </c>
      <c r="P12">
        <f t="shared" si="1"/>
        <v>2.06849245762483</v>
      </c>
      <c r="Q12">
        <f t="shared" si="1"/>
        <v>2.4302842306098875</v>
      </c>
      <c r="R12">
        <f t="shared" si="1"/>
        <v>1.5492724661243167</v>
      </c>
      <c r="S12">
        <f t="shared" si="1"/>
        <v>0.1592796900321769</v>
      </c>
      <c r="T12">
        <f t="shared" si="1"/>
        <v>0.41759566647721869</v>
      </c>
      <c r="U12">
        <f t="shared" si="1"/>
        <v>1.4026139832846036</v>
      </c>
      <c r="V12">
        <f t="shared" si="1"/>
        <v>1.7511970572648701</v>
      </c>
      <c r="W12">
        <f t="shared" si="1"/>
        <v>1.4247568744609969</v>
      </c>
      <c r="X12">
        <f t="shared" si="1"/>
        <v>0.7102588701590018</v>
      </c>
      <c r="Y12">
        <f t="shared" si="1"/>
        <v>7.7430502615436492E-2</v>
      </c>
      <c r="Z12">
        <f t="shared" si="1"/>
        <v>1.1092297533879858E-2</v>
      </c>
      <c r="AA12">
        <f t="shared" si="1"/>
        <v>0.13399972390336812</v>
      </c>
      <c r="AB12">
        <f t="shared" si="1"/>
        <v>8.8191372589997874E-2</v>
      </c>
      <c r="AC12">
        <f t="shared" si="1"/>
        <v>0</v>
      </c>
      <c r="AD12">
        <f t="shared" si="1"/>
        <v>0.13878740808090795</v>
      </c>
      <c r="AE12">
        <f t="shared" si="1"/>
        <v>0.40442211746304557</v>
      </c>
    </row>
    <row r="13" spans="1:33" x14ac:dyDescent="0.2">
      <c r="A13" s="4">
        <v>0.107904526291945</v>
      </c>
      <c r="B13" t="s">
        <v>33</v>
      </c>
      <c r="C13">
        <f>C5/$AG$5 - 1</f>
        <v>32.157956456757312</v>
      </c>
      <c r="D13">
        <f t="shared" ref="D13:AE13" si="2">D5/$AG$5 - 1</f>
        <v>28.332363474401667</v>
      </c>
      <c r="E13">
        <f t="shared" si="2"/>
        <v>22.651895027976867</v>
      </c>
      <c r="F13">
        <f t="shared" si="2"/>
        <v>15.986859448243134</v>
      </c>
      <c r="G13">
        <f t="shared" si="2"/>
        <v>9.3108646364706793</v>
      </c>
      <c r="H13">
        <f t="shared" si="2"/>
        <v>3.5300518270658863</v>
      </c>
      <c r="I13">
        <f t="shared" si="2"/>
        <v>2.1579823363087058E-3</v>
      </c>
      <c r="J13">
        <f t="shared" si="2"/>
        <v>2.0136445387256665</v>
      </c>
      <c r="K13">
        <f t="shared" si="2"/>
        <v>2.9919498872334036</v>
      </c>
      <c r="L13">
        <f t="shared" si="2"/>
        <v>2.7285647045217223</v>
      </c>
      <c r="M13">
        <f t="shared" si="2"/>
        <v>1.7292558605805444</v>
      </c>
      <c r="N13">
        <f t="shared" si="2"/>
        <v>0.59102272189776173</v>
      </c>
      <c r="O13">
        <f t="shared" si="2"/>
        <v>1.6079816085878829E-3</v>
      </c>
      <c r="P13">
        <f t="shared" si="2"/>
        <v>0.21818442544518923</v>
      </c>
      <c r="Q13">
        <f t="shared" si="2"/>
        <v>0.30274061189220514</v>
      </c>
      <c r="R13">
        <f t="shared" si="2"/>
        <v>0.13004893229385961</v>
      </c>
      <c r="S13">
        <f t="shared" si="2"/>
        <v>0</v>
      </c>
      <c r="T13">
        <f t="shared" si="2"/>
        <v>0.18438149875516996</v>
      </c>
      <c r="U13">
        <f t="shared" si="2"/>
        <v>0.4239598107014777</v>
      </c>
      <c r="V13">
        <f t="shared" si="2"/>
        <v>0.5166827430509553</v>
      </c>
      <c r="W13">
        <f t="shared" si="2"/>
        <v>0.44023894905036753</v>
      </c>
      <c r="X13">
        <f t="shared" si="2"/>
        <v>0.2693687115727037</v>
      </c>
      <c r="Y13">
        <f t="shared" si="2"/>
        <v>0.11024571924678339</v>
      </c>
      <c r="Z13">
        <f t="shared" si="2"/>
        <v>2.870608449525669E-2</v>
      </c>
      <c r="AA13">
        <f t="shared" si="2"/>
        <v>7.8185952815341686E-3</v>
      </c>
      <c r="AB13">
        <f t="shared" si="2"/>
        <v>1.5811907427771388E-2</v>
      </c>
      <c r="AC13">
        <f t="shared" si="2"/>
        <v>5.384791473501549E-2</v>
      </c>
      <c r="AD13">
        <f t="shared" si="2"/>
        <v>0.12204403663478547</v>
      </c>
      <c r="AE13">
        <f t="shared" si="2"/>
        <v>0.19110246669876352</v>
      </c>
    </row>
    <row r="14" spans="1:33" x14ac:dyDescent="0.2">
      <c r="A14" s="4">
        <v>8.6099097147462306E-2</v>
      </c>
      <c r="B14" t="s">
        <v>34</v>
      </c>
      <c r="C14">
        <f>C6/$AG$6 - 1</f>
        <v>47.199378080643257</v>
      </c>
      <c r="D14">
        <f t="shared" ref="D14:AE14" si="3">D6/$AG$6 - 1</f>
        <v>41.619055258838372</v>
      </c>
      <c r="E14">
        <f t="shared" si="3"/>
        <v>33.358591508812033</v>
      </c>
      <c r="F14">
        <f t="shared" si="3"/>
        <v>23.693086900182625</v>
      </c>
      <c r="G14">
        <f t="shared" si="3"/>
        <v>14.013938848728706</v>
      </c>
      <c r="H14">
        <f t="shared" si="3"/>
        <v>5.587175788792047</v>
      </c>
      <c r="I14">
        <f t="shared" si="3"/>
        <v>0</v>
      </c>
      <c r="J14">
        <f t="shared" si="3"/>
        <v>2.9727898890680553</v>
      </c>
      <c r="K14">
        <f t="shared" si="3"/>
        <v>4.4336389324452563</v>
      </c>
      <c r="L14">
        <f t="shared" si="3"/>
        <v>4.0453959217532915</v>
      </c>
      <c r="M14">
        <f t="shared" si="3"/>
        <v>2.5564488704031172</v>
      </c>
      <c r="N14">
        <f t="shared" si="3"/>
        <v>0.83849512755334854</v>
      </c>
      <c r="O14">
        <f t="shared" si="3"/>
        <v>8.9458898742018178E-2</v>
      </c>
      <c r="P14">
        <f t="shared" si="3"/>
        <v>0.55056112690997905</v>
      </c>
      <c r="Q14">
        <f t="shared" si="3"/>
        <v>0.70239116738941121</v>
      </c>
      <c r="R14">
        <f t="shared" si="3"/>
        <v>0.4203798567319994</v>
      </c>
      <c r="S14">
        <f t="shared" si="3"/>
        <v>0.13124739207894764</v>
      </c>
      <c r="T14">
        <f t="shared" si="3"/>
        <v>0.26908739124294945</v>
      </c>
      <c r="U14">
        <f t="shared" si="3"/>
        <v>0.60141017293704824</v>
      </c>
      <c r="V14">
        <f t="shared" si="3"/>
        <v>0.73718617244965934</v>
      </c>
      <c r="W14">
        <f t="shared" si="3"/>
        <v>0.62853958231704032</v>
      </c>
      <c r="X14">
        <f t="shared" si="3"/>
        <v>0.38558212661958535</v>
      </c>
      <c r="Y14">
        <f t="shared" si="3"/>
        <v>0.17441607834951256</v>
      </c>
      <c r="Z14">
        <f t="shared" si="3"/>
        <v>9.8230992107164683E-2</v>
      </c>
      <c r="AA14">
        <f t="shared" si="3"/>
        <v>8.9634957496769418E-2</v>
      </c>
      <c r="AB14">
        <f t="shared" si="3"/>
        <v>9.0142046022906763E-2</v>
      </c>
      <c r="AC14">
        <f t="shared" si="3"/>
        <v>0.11371724798550131</v>
      </c>
      <c r="AD14">
        <f t="shared" si="3"/>
        <v>0.18577733691459675</v>
      </c>
      <c r="AE14">
        <f t="shared" si="3"/>
        <v>0.27464736025295378</v>
      </c>
    </row>
    <row r="15" spans="1:33" x14ac:dyDescent="0.2">
      <c r="A15" s="4">
        <v>9.2672533613795197E-2</v>
      </c>
      <c r="B15" t="s">
        <v>35</v>
      </c>
      <c r="C15">
        <f>C7/$AG$7 - 1</f>
        <v>2.2691618152587569</v>
      </c>
      <c r="D15">
        <f t="shared" ref="D15:AE15" si="4">D7/$AG$7 - 1</f>
        <v>1.9710726125687121</v>
      </c>
      <c r="E15">
        <f t="shared" si="4"/>
        <v>1.5302068493146215</v>
      </c>
      <c r="F15">
        <f t="shared" si="4"/>
        <v>1.0200264797150793</v>
      </c>
      <c r="G15">
        <f t="shared" si="4"/>
        <v>0.53849787280230754</v>
      </c>
      <c r="H15">
        <f t="shared" si="4"/>
        <v>0.18627666887582262</v>
      </c>
      <c r="I15">
        <f t="shared" si="4"/>
        <v>2.0695933411901679E-2</v>
      </c>
      <c r="J15">
        <f t="shared" si="4"/>
        <v>0</v>
      </c>
      <c r="K15">
        <f t="shared" si="4"/>
        <v>1.189225643838232E-2</v>
      </c>
      <c r="L15">
        <f t="shared" si="4"/>
        <v>8.7909255984310875E-3</v>
      </c>
      <c r="M15">
        <f t="shared" si="4"/>
        <v>5.427854741657745E-3</v>
      </c>
      <c r="N15">
        <f t="shared" si="4"/>
        <v>1.780738970493756E-2</v>
      </c>
      <c r="O15">
        <f t="shared" si="4"/>
        <v>3.9000710583723119E-2</v>
      </c>
      <c r="P15">
        <f t="shared" si="4"/>
        <v>5.5360052828528516E-2</v>
      </c>
      <c r="Q15">
        <f t="shared" si="4"/>
        <v>5.8866679389359078E-2</v>
      </c>
      <c r="R15">
        <f t="shared" si="4"/>
        <v>5.1503827372113786E-2</v>
      </c>
      <c r="S15">
        <f t="shared" si="4"/>
        <v>3.9860916492904686E-2</v>
      </c>
      <c r="T15">
        <f t="shared" si="4"/>
        <v>2.97430802746661E-2</v>
      </c>
      <c r="U15">
        <f t="shared" si="4"/>
        <v>2.3076831713987112E-2</v>
      </c>
      <c r="V15">
        <f t="shared" si="4"/>
        <v>2.0043488963563227E-2</v>
      </c>
      <c r="W15">
        <f t="shared" si="4"/>
        <v>2.0130727528944625E-2</v>
      </c>
      <c r="X15">
        <f t="shared" si="4"/>
        <v>2.2661969127284021E-2</v>
      </c>
      <c r="Y15">
        <f t="shared" si="4"/>
        <v>2.6468962305127297E-2</v>
      </c>
      <c r="Z15">
        <f t="shared" si="4"/>
        <v>2.9862867020641337E-2</v>
      </c>
      <c r="AA15">
        <f t="shared" si="4"/>
        <v>3.1413506063774355E-2</v>
      </c>
      <c r="AB15">
        <f t="shared" si="4"/>
        <v>3.0702554182601149E-2</v>
      </c>
      <c r="AC15">
        <f t="shared" si="4"/>
        <v>2.8476842524040924E-2</v>
      </c>
      <c r="AD15">
        <f t="shared" si="4"/>
        <v>2.5970534189810879E-2</v>
      </c>
      <c r="AE15">
        <f t="shared" si="4"/>
        <v>2.4255533394917483E-2</v>
      </c>
    </row>
    <row r="16" spans="1:33" x14ac:dyDescent="0.2">
      <c r="A16" s="4">
        <v>9.8043066022696093E-2</v>
      </c>
      <c r="B16" t="s">
        <v>36</v>
      </c>
      <c r="C16">
        <f>C8/$AG$8 - 1</f>
        <v>4.7659469037523028</v>
      </c>
      <c r="D16">
        <f t="shared" ref="D16:AE16" si="5">D8/$AG$8 - 1</f>
        <v>4.1101099734423769</v>
      </c>
      <c r="E16">
        <f t="shared" si="5"/>
        <v>3.171117232242282</v>
      </c>
      <c r="F16">
        <f t="shared" si="5"/>
        <v>2.1064769418266485</v>
      </c>
      <c r="G16">
        <f t="shared" si="5"/>
        <v>1.0897852874279734</v>
      </c>
      <c r="H16">
        <f t="shared" si="5"/>
        <v>0.32199573916939195</v>
      </c>
      <c r="I16">
        <f t="shared" si="5"/>
        <v>1.0553349907147513E-3</v>
      </c>
      <c r="J16">
        <f t="shared" si="5"/>
        <v>7.5538422310085895E-2</v>
      </c>
      <c r="K16">
        <f t="shared" si="5"/>
        <v>0.15368602094366279</v>
      </c>
      <c r="L16">
        <f t="shared" si="5"/>
        <v>0.12649785587405193</v>
      </c>
      <c r="M16">
        <f t="shared" si="5"/>
        <v>5.1950355934281989E-2</v>
      </c>
      <c r="N16">
        <f t="shared" si="5"/>
        <v>5.9003218920068434E-3</v>
      </c>
      <c r="O16">
        <f t="shared" si="5"/>
        <v>1.070078046366163E-2</v>
      </c>
      <c r="P16">
        <f t="shared" si="5"/>
        <v>3.1767059455627411E-2</v>
      </c>
      <c r="Q16">
        <f t="shared" si="5"/>
        <v>3.7521529268028431E-2</v>
      </c>
      <c r="R16">
        <f t="shared" si="5"/>
        <v>2.5715329876886406E-2</v>
      </c>
      <c r="S16">
        <f t="shared" si="5"/>
        <v>1.0930743241298835E-2</v>
      </c>
      <c r="T16">
        <f t="shared" si="5"/>
        <v>3.5992778600719699E-3</v>
      </c>
      <c r="U16">
        <f t="shared" si="5"/>
        <v>3.674124011340929E-3</v>
      </c>
      <c r="V16">
        <f t="shared" si="5"/>
        <v>4.2112689082567378E-3</v>
      </c>
      <c r="W16">
        <f t="shared" si="5"/>
        <v>2.2746548445504722E-3</v>
      </c>
      <c r="X16">
        <f t="shared" si="5"/>
        <v>3.7893750351725153E-4</v>
      </c>
      <c r="Y16">
        <f t="shared" si="5"/>
        <v>7.4712477154470491E-4</v>
      </c>
      <c r="Z16">
        <f t="shared" si="5"/>
        <v>2.6674959474555227E-3</v>
      </c>
      <c r="AA16">
        <f t="shared" si="5"/>
        <v>3.9292703574793642E-3</v>
      </c>
      <c r="AB16">
        <f t="shared" si="5"/>
        <v>3.3305416096578444E-3</v>
      </c>
      <c r="AC16">
        <f t="shared" si="5"/>
        <v>1.7942099988370597E-3</v>
      </c>
      <c r="AD16">
        <f t="shared" si="5"/>
        <v>4.197426525009984E-4</v>
      </c>
      <c r="AE16">
        <f t="shared" si="5"/>
        <v>0</v>
      </c>
    </row>
    <row r="17" spans="1:31" ht="16" x14ac:dyDescent="0.2">
      <c r="A17" s="4">
        <v>9.5973257632801706E-2</v>
      </c>
      <c r="B17" s="1" t="s">
        <v>37</v>
      </c>
      <c r="C17">
        <f>C9/$AG$9 - 1</f>
        <v>4.4293790830274427</v>
      </c>
      <c r="D17">
        <f t="shared" ref="D17:AE17" si="6">D9/$AG$9 - 1</f>
        <v>3.7916561917167977</v>
      </c>
      <c r="E17">
        <f t="shared" si="6"/>
        <v>2.8935522688428645</v>
      </c>
      <c r="F17">
        <f t="shared" si="6"/>
        <v>1.8848705778187891</v>
      </c>
      <c r="G17">
        <f t="shared" si="6"/>
        <v>0.94432888203018694</v>
      </c>
      <c r="H17">
        <f t="shared" si="6"/>
        <v>0.2665412505468816</v>
      </c>
      <c r="I17">
        <f t="shared" si="6"/>
        <v>1.0597626619159861E-2</v>
      </c>
      <c r="J17">
        <f t="shared" si="6"/>
        <v>8.7754060445988324E-2</v>
      </c>
      <c r="K17">
        <f t="shared" si="6"/>
        <v>0.15079127553804583</v>
      </c>
      <c r="L17">
        <f t="shared" si="6"/>
        <v>0.12649667181181679</v>
      </c>
      <c r="M17">
        <f t="shared" si="6"/>
        <v>6.1386896722632978E-2</v>
      </c>
      <c r="N17">
        <f t="shared" si="6"/>
        <v>1.5086537639839692E-2</v>
      </c>
      <c r="O17">
        <f t="shared" si="6"/>
        <v>7.3018484404980821E-3</v>
      </c>
      <c r="P17">
        <f t="shared" si="6"/>
        <v>1.6542697616031221E-2</v>
      </c>
      <c r="Q17">
        <f t="shared" si="6"/>
        <v>1.8494077338939929E-2</v>
      </c>
      <c r="R17">
        <f t="shared" si="6"/>
        <v>1.0385667463469028E-2</v>
      </c>
      <c r="S17">
        <f t="shared" si="6"/>
        <v>3.6774294293029364E-3</v>
      </c>
      <c r="T17">
        <f t="shared" si="6"/>
        <v>4.3875369734764913E-3</v>
      </c>
      <c r="U17">
        <f t="shared" si="6"/>
        <v>8.8862958047839502E-3</v>
      </c>
      <c r="V17">
        <f t="shared" si="6"/>
        <v>1.0321864601157582E-2</v>
      </c>
      <c r="W17">
        <f t="shared" si="6"/>
        <v>7.2416617364643443E-3</v>
      </c>
      <c r="X17">
        <f t="shared" si="6"/>
        <v>2.7150069532593246E-3</v>
      </c>
      <c r="Y17">
        <f t="shared" si="6"/>
        <v>1.3553650780973037E-4</v>
      </c>
      <c r="Z17">
        <f t="shared" si="6"/>
        <v>0</v>
      </c>
      <c r="AA17">
        <f t="shared" si="6"/>
        <v>4.2234541619579069E-4</v>
      </c>
      <c r="AB17">
        <f t="shared" si="6"/>
        <v>3.1742816566082688E-4</v>
      </c>
      <c r="AC17">
        <f t="shared" si="6"/>
        <v>8.3940017743699968E-5</v>
      </c>
      <c r="AD17">
        <f t="shared" si="6"/>
        <v>2.5759615976528316E-4</v>
      </c>
      <c r="AE17">
        <f t="shared" si="6"/>
        <v>1.1213886367400505E-3</v>
      </c>
    </row>
    <row r="18" spans="1:31" x14ac:dyDescent="0.2">
      <c r="A18" s="4">
        <v>9.04261509476149E-2</v>
      </c>
      <c r="C18" s="4"/>
    </row>
    <row r="19" spans="1:31" x14ac:dyDescent="0.2">
      <c r="A19" s="4">
        <v>8.64815353957578E-2</v>
      </c>
      <c r="C19" s="4"/>
    </row>
    <row r="20" spans="1:31" x14ac:dyDescent="0.2">
      <c r="A20" s="4">
        <v>8.5818309306578106E-2</v>
      </c>
      <c r="C20" s="4"/>
    </row>
    <row r="21" spans="1:31" x14ac:dyDescent="0.2">
      <c r="A21" s="4">
        <v>8.6605594720606804E-2</v>
      </c>
      <c r="C21" s="4"/>
    </row>
    <row r="22" spans="1:31" x14ac:dyDescent="0.2">
      <c r="A22" s="4">
        <v>8.6771844895660505E-2</v>
      </c>
      <c r="C22" s="4"/>
    </row>
    <row r="23" spans="1:31" x14ac:dyDescent="0.2">
      <c r="A23" s="4">
        <v>8.6081039028725007E-2</v>
      </c>
      <c r="C23" s="4"/>
    </row>
    <row r="24" spans="1:31" x14ac:dyDescent="0.2">
      <c r="A24" s="4">
        <v>8.5509522509213495E-2</v>
      </c>
      <c r="C24" s="4"/>
    </row>
    <row r="25" spans="1:31" x14ac:dyDescent="0.2">
      <c r="A25" s="4">
        <v>8.5570020987361994E-2</v>
      </c>
      <c r="C25" s="4"/>
    </row>
    <row r="26" spans="1:31" x14ac:dyDescent="0.2">
      <c r="A26" s="4">
        <v>8.59532982318926E-2</v>
      </c>
      <c r="C26" s="4"/>
    </row>
    <row r="27" spans="1:31" x14ac:dyDescent="0.2">
      <c r="A27" s="4">
        <v>8.6075603266067599E-2</v>
      </c>
      <c r="C27" s="4"/>
    </row>
    <row r="28" spans="1:31" x14ac:dyDescent="0.2">
      <c r="A28" s="4">
        <v>8.5813181626934798E-2</v>
      </c>
      <c r="C28" s="4"/>
    </row>
    <row r="29" spans="1:31" x14ac:dyDescent="0.2">
      <c r="A29" s="4">
        <v>8.5427527752765298E-2</v>
      </c>
      <c r="C29" s="4"/>
    </row>
    <row r="30" spans="1:31" x14ac:dyDescent="0.2">
      <c r="A30" s="4">
        <v>8.5207766622695399E-2</v>
      </c>
      <c r="C30" s="4"/>
    </row>
    <row r="31" spans="1:31" x14ac:dyDescent="0.2">
      <c r="A31" s="4">
        <v>8.5196219424635997E-2</v>
      </c>
      <c r="C31" s="4"/>
    </row>
    <row r="32" spans="1:31" x14ac:dyDescent="0.2">
      <c r="A32" s="4">
        <v>8.5232201657387194E-2</v>
      </c>
      <c r="C32" s="4"/>
    </row>
    <row r="33" spans="1:3" x14ac:dyDescent="0.2">
      <c r="A33" s="4">
        <v>8.5223263104289196E-2</v>
      </c>
      <c r="C33" s="4"/>
    </row>
    <row r="34" spans="1:3" x14ac:dyDescent="0.2">
      <c r="A34" s="4">
        <v>8.5203370796806205E-2</v>
      </c>
      <c r="C34" s="4"/>
    </row>
    <row r="35" spans="1:3" x14ac:dyDescent="0.2">
      <c r="A35" s="4">
        <v>8.5218165643586294E-2</v>
      </c>
    </row>
    <row r="36" spans="1:3" x14ac:dyDescent="0.2">
      <c r="A36" s="4">
        <v>8.5291757496991999E-2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1"/>
  <sheetViews>
    <sheetView zoomScale="97" zoomScaleNormal="97" workbookViewId="0">
      <selection activeCell="Q6" sqref="Q6"/>
    </sheetView>
  </sheetViews>
  <sheetFormatPr baseColWidth="10" defaultColWidth="8.83203125" defaultRowHeight="15" x14ac:dyDescent="0.2"/>
  <cols>
    <col min="7" max="7" width="14.5" bestFit="1" customWidth="1"/>
    <col min="11" max="11" width="11.5" customWidth="1"/>
    <col min="15" max="15" width="24.1640625" customWidth="1"/>
    <col min="16" max="16" width="14.83203125" customWidth="1"/>
    <col min="19" max="19" width="11.83203125" bestFit="1" customWidth="1"/>
  </cols>
  <sheetData>
    <row r="1" spans="1:19" ht="40" customHeight="1" x14ac:dyDescent="0.2">
      <c r="K1" s="1"/>
      <c r="O1" s="1"/>
      <c r="P1" s="1"/>
    </row>
    <row r="2" spans="1:19" x14ac:dyDescent="0.2">
      <c r="A2" t="s">
        <v>0</v>
      </c>
      <c r="C2" t="s">
        <v>1</v>
      </c>
      <c r="D2" t="s">
        <v>2</v>
      </c>
      <c r="E2" t="s">
        <v>3</v>
      </c>
      <c r="G2" t="s">
        <v>9</v>
      </c>
      <c r="H2" t="s">
        <v>4</v>
      </c>
      <c r="I2" t="s">
        <v>19</v>
      </c>
      <c r="K2" t="s">
        <v>17</v>
      </c>
      <c r="L2" t="s">
        <v>1</v>
      </c>
      <c r="M2" t="s">
        <v>14</v>
      </c>
      <c r="N2" t="s">
        <v>46</v>
      </c>
      <c r="O2" t="s">
        <v>72</v>
      </c>
      <c r="P2" t="s">
        <v>74</v>
      </c>
      <c r="Q2" t="s">
        <v>1</v>
      </c>
      <c r="R2" t="s">
        <v>14</v>
      </c>
      <c r="S2" t="s">
        <v>73</v>
      </c>
    </row>
    <row r="3" spans="1:19" x14ac:dyDescent="0.2">
      <c r="A3">
        <v>0.05</v>
      </c>
      <c r="C3" s="5">
        <v>1.40515813390695E-2</v>
      </c>
      <c r="D3" s="5">
        <v>1.5</v>
      </c>
      <c r="G3" s="5">
        <v>1.30453064918408E-2</v>
      </c>
      <c r="H3" s="5">
        <v>7.0000000000000007E-2</v>
      </c>
      <c r="I3">
        <f>H3/0.01</f>
        <v>7.0000000000000009</v>
      </c>
      <c r="N3">
        <f>100*(C3-G3)/C3</f>
        <v>7.1612925474147087</v>
      </c>
    </row>
    <row r="4" spans="1:19" x14ac:dyDescent="0.2">
      <c r="A4">
        <v>0.1</v>
      </c>
      <c r="C4" s="5">
        <v>1.7884614459500899E-2</v>
      </c>
      <c r="D4" s="5">
        <v>1.35</v>
      </c>
      <c r="G4" s="5">
        <v>1.7743232804342399E-2</v>
      </c>
      <c r="H4" s="5">
        <v>0.08</v>
      </c>
      <c r="I4">
        <f t="shared" ref="I4:I9" si="0">H4/0.01</f>
        <v>8</v>
      </c>
      <c r="N4">
        <f t="shared" ref="N4:N9" si="1">100*(C4-G4)/C4</f>
        <v>0.79052112349781856</v>
      </c>
      <c r="P4" s="5">
        <v>5.3685081310874502E-2</v>
      </c>
      <c r="Q4" s="5">
        <v>6.1260810361921996E-3</v>
      </c>
      <c r="R4" s="5">
        <v>6.0659681312650203E-3</v>
      </c>
      <c r="S4">
        <f>100*(Q4-R4)/Q4</f>
        <v>0.98126199395729641</v>
      </c>
    </row>
    <row r="5" spans="1:19" x14ac:dyDescent="0.2">
      <c r="A5">
        <v>0.15</v>
      </c>
      <c r="C5" s="5">
        <v>2.6512429773246901E-2</v>
      </c>
      <c r="D5" s="5">
        <v>1.45</v>
      </c>
      <c r="G5" s="5">
        <v>2.4655036376941001E-2</v>
      </c>
      <c r="H5" s="5">
        <v>0.04</v>
      </c>
      <c r="I5">
        <f t="shared" si="0"/>
        <v>4</v>
      </c>
      <c r="N5">
        <f t="shared" si="1"/>
        <v>7.0057456528565867</v>
      </c>
      <c r="S5" t="e">
        <f t="shared" ref="S5:S31" si="2">100*(Q5-R5)/Q5</f>
        <v>#DIV/0!</v>
      </c>
    </row>
    <row r="6" spans="1:19" x14ac:dyDescent="0.2">
      <c r="A6">
        <v>0.2</v>
      </c>
      <c r="C6" s="5">
        <v>2.3202593143228801E-2</v>
      </c>
      <c r="D6" s="5">
        <v>1.3</v>
      </c>
      <c r="G6" s="5">
        <v>2.29457957407769E-2</v>
      </c>
      <c r="H6" s="5">
        <v>7.0000000000000007E-2</v>
      </c>
      <c r="I6">
        <f t="shared" si="0"/>
        <v>7.0000000000000009</v>
      </c>
      <c r="N6">
        <f t="shared" si="1"/>
        <v>1.1067616488670029</v>
      </c>
      <c r="P6" s="5">
        <v>0.18277339677294099</v>
      </c>
      <c r="Q6" s="5">
        <v>7.79778382336425E-3</v>
      </c>
      <c r="R6" s="5">
        <v>7.7960247102871402E-3</v>
      </c>
      <c r="S6">
        <f t="shared" si="2"/>
        <v>2.2559141378592929E-2</v>
      </c>
    </row>
    <row r="7" spans="1:19" x14ac:dyDescent="0.2">
      <c r="A7">
        <v>0.25</v>
      </c>
      <c r="C7" s="5">
        <v>2.2738413877971701E-2</v>
      </c>
      <c r="D7" s="5">
        <v>1.35</v>
      </c>
      <c r="G7" s="5">
        <v>2.1589108600980001E-2</v>
      </c>
      <c r="H7" s="5">
        <v>0.04</v>
      </c>
      <c r="I7">
        <f t="shared" si="0"/>
        <v>4</v>
      </c>
      <c r="N7">
        <f t="shared" si="1"/>
        <v>5.0544654660592352</v>
      </c>
      <c r="S7" t="e">
        <f t="shared" si="2"/>
        <v>#DIV/0!</v>
      </c>
    </row>
    <row r="8" spans="1:19" x14ac:dyDescent="0.2">
      <c r="A8">
        <v>0.3</v>
      </c>
      <c r="C8" s="5">
        <v>2.6399006434460501E-2</v>
      </c>
      <c r="D8" s="5">
        <v>1.35</v>
      </c>
      <c r="E8" t="s">
        <v>66</v>
      </c>
      <c r="G8" s="5">
        <v>2.4773883214060599E-2</v>
      </c>
      <c r="H8" s="5">
        <v>0.04</v>
      </c>
      <c r="I8">
        <f t="shared" si="0"/>
        <v>4</v>
      </c>
      <c r="N8">
        <f t="shared" si="1"/>
        <v>6.1560014557158231</v>
      </c>
      <c r="P8" s="5">
        <v>0.20197916692558501</v>
      </c>
      <c r="Q8" s="5">
        <v>8.8709302064360999E-3</v>
      </c>
      <c r="R8" s="5">
        <v>8.2665535730649699E-3</v>
      </c>
      <c r="S8">
        <f t="shared" si="2"/>
        <v>6.813001785682391</v>
      </c>
    </row>
    <row r="9" spans="1:19" x14ac:dyDescent="0.2">
      <c r="A9">
        <v>0.35</v>
      </c>
      <c r="C9" s="5">
        <v>2.78588091350324E-2</v>
      </c>
      <c r="D9" s="5">
        <v>1.35</v>
      </c>
      <c r="G9" s="5">
        <v>2.6076000481327501E-2</v>
      </c>
      <c r="H9" s="5">
        <v>0.04</v>
      </c>
      <c r="I9">
        <f t="shared" si="0"/>
        <v>4</v>
      </c>
      <c r="N9">
        <f t="shared" si="1"/>
        <v>6.3994431530205684</v>
      </c>
      <c r="S9" t="e">
        <f t="shared" si="2"/>
        <v>#DIV/0!</v>
      </c>
    </row>
    <row r="10" spans="1:19" x14ac:dyDescent="0.2">
      <c r="S10" t="e">
        <f t="shared" si="2"/>
        <v>#DIV/0!</v>
      </c>
    </row>
    <row r="11" spans="1:19" x14ac:dyDescent="0.2">
      <c r="M11" t="s">
        <v>52</v>
      </c>
      <c r="N11">
        <f>SUM(N4:N9)/6</f>
        <v>4.4188230833361724</v>
      </c>
      <c r="S11" t="e">
        <f t="shared" si="2"/>
        <v>#DIV/0!</v>
      </c>
    </row>
    <row r="12" spans="1:19" x14ac:dyDescent="0.2">
      <c r="A12" t="s">
        <v>53</v>
      </c>
      <c r="S12" t="e">
        <f t="shared" si="2"/>
        <v>#DIV/0!</v>
      </c>
    </row>
    <row r="13" spans="1:19" x14ac:dyDescent="0.2">
      <c r="A13" s="6" t="s">
        <v>0</v>
      </c>
      <c r="C13" t="s">
        <v>1</v>
      </c>
      <c r="D13" t="s">
        <v>2</v>
      </c>
      <c r="E13" t="s">
        <v>3</v>
      </c>
      <c r="G13" t="s">
        <v>9</v>
      </c>
      <c r="H13" t="s">
        <v>4</v>
      </c>
      <c r="I13" t="s">
        <v>19</v>
      </c>
      <c r="S13" t="e">
        <f t="shared" si="2"/>
        <v>#DIV/0!</v>
      </c>
    </row>
    <row r="14" spans="1:19" x14ac:dyDescent="0.2">
      <c r="A14" s="6">
        <v>0.1</v>
      </c>
      <c r="S14" t="e">
        <f t="shared" si="2"/>
        <v>#DIV/0!</v>
      </c>
    </row>
    <row r="15" spans="1:19" x14ac:dyDescent="0.2">
      <c r="A15" s="6">
        <v>0.15</v>
      </c>
      <c r="S15" t="e">
        <f t="shared" si="2"/>
        <v>#DIV/0!</v>
      </c>
    </row>
    <row r="16" spans="1:19" x14ac:dyDescent="0.2">
      <c r="A16" s="6">
        <v>0.2</v>
      </c>
      <c r="C16" s="5">
        <v>3.0583365287973799E-2</v>
      </c>
      <c r="D16" s="5">
        <v>1.3</v>
      </c>
      <c r="G16" s="5">
        <v>3.0374675620690201E-2</v>
      </c>
      <c r="H16" s="5">
        <v>0.08</v>
      </c>
      <c r="N16">
        <f>100*(C16-G16)/C16</f>
        <v>0.68236332175537373</v>
      </c>
      <c r="S16" t="e">
        <f t="shared" si="2"/>
        <v>#DIV/0!</v>
      </c>
    </row>
    <row r="17" spans="1:19" x14ac:dyDescent="0.2">
      <c r="A17" s="6">
        <v>0.25</v>
      </c>
      <c r="N17" t="e">
        <f t="shared" ref="N17:N19" si="3">100*(C17-G17)/C17</f>
        <v>#DIV/0!</v>
      </c>
      <c r="S17" t="e">
        <f t="shared" si="2"/>
        <v>#DIV/0!</v>
      </c>
    </row>
    <row r="18" spans="1:19" x14ac:dyDescent="0.2">
      <c r="A18" s="6">
        <v>0.3</v>
      </c>
      <c r="C18" s="5">
        <v>3.3233413877305502E-2</v>
      </c>
      <c r="D18" s="5">
        <v>1.35</v>
      </c>
      <c r="G18" s="5">
        <v>3.1744972488912497E-2</v>
      </c>
      <c r="H18" s="5">
        <v>0.04</v>
      </c>
      <c r="N18">
        <f t="shared" si="3"/>
        <v>4.4787495918661397</v>
      </c>
      <c r="S18" t="e">
        <f t="shared" si="2"/>
        <v>#DIV/0!</v>
      </c>
    </row>
    <row r="19" spans="1:19" x14ac:dyDescent="0.2">
      <c r="A19" s="6">
        <v>0.35</v>
      </c>
      <c r="N19" t="e">
        <f t="shared" si="3"/>
        <v>#DIV/0!</v>
      </c>
      <c r="S19" t="e">
        <f t="shared" si="2"/>
        <v>#DIV/0!</v>
      </c>
    </row>
    <row r="20" spans="1:19" x14ac:dyDescent="0.2">
      <c r="S20" t="e">
        <f t="shared" si="2"/>
        <v>#DIV/0!</v>
      </c>
    </row>
    <row r="21" spans="1:19" x14ac:dyDescent="0.2">
      <c r="N21" t="e">
        <f t="shared" ref="N21:N30" si="4">100*(C21-G21)/C21</f>
        <v>#DIV/0!</v>
      </c>
      <c r="S21" t="e">
        <f t="shared" si="2"/>
        <v>#DIV/0!</v>
      </c>
    </row>
    <row r="22" spans="1:19" x14ac:dyDescent="0.2">
      <c r="N22" t="e">
        <f t="shared" si="4"/>
        <v>#DIV/0!</v>
      </c>
      <c r="S22" t="e">
        <f t="shared" si="2"/>
        <v>#DIV/0!</v>
      </c>
    </row>
    <row r="23" spans="1:19" x14ac:dyDescent="0.2">
      <c r="N23" t="e">
        <f t="shared" si="4"/>
        <v>#DIV/0!</v>
      </c>
      <c r="S23" t="e">
        <f t="shared" si="2"/>
        <v>#DIV/0!</v>
      </c>
    </row>
    <row r="24" spans="1:19" x14ac:dyDescent="0.2">
      <c r="A24" t="s">
        <v>54</v>
      </c>
      <c r="N24" t="e">
        <f t="shared" si="4"/>
        <v>#DIV/0!</v>
      </c>
      <c r="S24" t="e">
        <f t="shared" si="2"/>
        <v>#DIV/0!</v>
      </c>
    </row>
    <row r="25" spans="1:19" x14ac:dyDescent="0.2">
      <c r="A25" s="6" t="s">
        <v>0</v>
      </c>
      <c r="C25" t="s">
        <v>1</v>
      </c>
      <c r="D25" t="s">
        <v>2</v>
      </c>
      <c r="E25" t="s">
        <v>3</v>
      </c>
      <c r="G25" t="s">
        <v>9</v>
      </c>
      <c r="H25" t="s">
        <v>4</v>
      </c>
      <c r="I25" t="s">
        <v>19</v>
      </c>
      <c r="S25" t="e">
        <f t="shared" si="2"/>
        <v>#DIV/0!</v>
      </c>
    </row>
    <row r="26" spans="1:19" x14ac:dyDescent="0.2">
      <c r="A26" s="6">
        <v>0.1</v>
      </c>
      <c r="C26" s="5">
        <v>4.7297257460138298E-2</v>
      </c>
      <c r="D26" s="5">
        <v>1.1499999999999999</v>
      </c>
      <c r="G26" s="5">
        <v>4.4474141708136898E-2</v>
      </c>
      <c r="H26" s="5">
        <v>0.05</v>
      </c>
      <c r="N26">
        <f t="shared" ref="N26" si="5">100*(C26-G26)/C26</f>
        <v>5.9688783316468106</v>
      </c>
      <c r="P26" s="5">
        <v>9.6908846112677999E-2</v>
      </c>
      <c r="Q26" s="5">
        <v>1.60565483240976E-2</v>
      </c>
      <c r="R26" s="5">
        <v>1.44600212830567E-2</v>
      </c>
      <c r="S26">
        <f t="shared" si="2"/>
        <v>9.9431522193648512</v>
      </c>
    </row>
    <row r="27" spans="1:19" x14ac:dyDescent="0.2">
      <c r="A27" s="6">
        <v>0.15</v>
      </c>
      <c r="C27" s="5">
        <v>5.97574366707476E-2</v>
      </c>
      <c r="D27" s="5">
        <v>1.45</v>
      </c>
      <c r="E27" t="s">
        <v>69</v>
      </c>
      <c r="G27" s="5">
        <v>5.5179189967796201E-2</v>
      </c>
      <c r="H27" s="5">
        <v>0.02</v>
      </c>
      <c r="N27">
        <f t="shared" si="4"/>
        <v>7.6613840184890964</v>
      </c>
      <c r="S27" t="e">
        <f t="shared" si="2"/>
        <v>#DIV/0!</v>
      </c>
    </row>
    <row r="28" spans="1:19" x14ac:dyDescent="0.2">
      <c r="A28" s="6">
        <v>0.2</v>
      </c>
      <c r="C28" s="5">
        <v>5.9515187594542697E-2</v>
      </c>
      <c r="D28" s="5">
        <v>1.05</v>
      </c>
      <c r="G28" s="5">
        <v>5.4077633591474002E-2</v>
      </c>
      <c r="H28" s="5">
        <v>0.01</v>
      </c>
      <c r="N28">
        <f t="shared" si="4"/>
        <v>9.1364141202291993</v>
      </c>
      <c r="P28" s="5">
        <v>0.420332866293542</v>
      </c>
      <c r="Q28" s="5">
        <v>2.02962390902411E-2</v>
      </c>
      <c r="R28" s="5">
        <v>1.7115699543926801E-2</v>
      </c>
      <c r="S28">
        <f t="shared" si="2"/>
        <v>15.670585728582472</v>
      </c>
    </row>
    <row r="29" spans="1:19" x14ac:dyDescent="0.2">
      <c r="A29" s="6">
        <v>0.25</v>
      </c>
      <c r="C29" s="5">
        <v>5.9041972057388002E-2</v>
      </c>
      <c r="D29" s="5">
        <v>1.4</v>
      </c>
      <c r="G29" s="5">
        <v>5.8475983905904298E-2</v>
      </c>
      <c r="H29" s="5">
        <v>0.09</v>
      </c>
      <c r="N29">
        <f t="shared" si="4"/>
        <v>0.95861999821681276</v>
      </c>
      <c r="S29" t="e">
        <f t="shared" si="2"/>
        <v>#DIV/0!</v>
      </c>
    </row>
    <row r="30" spans="1:19" x14ac:dyDescent="0.2">
      <c r="A30" s="6">
        <v>0.3</v>
      </c>
      <c r="C30" s="5">
        <v>4.9281187517506202E-2</v>
      </c>
      <c r="D30" s="5">
        <v>0.45</v>
      </c>
      <c r="E30" t="s">
        <v>70</v>
      </c>
      <c r="G30" s="5">
        <v>4.6559667253601597E-2</v>
      </c>
      <c r="H30" s="5">
        <v>0.09</v>
      </c>
      <c r="N30">
        <f t="shared" si="4"/>
        <v>5.5224323945883738</v>
      </c>
      <c r="P30" s="5">
        <v>0.32938377632013399</v>
      </c>
      <c r="Q30" s="5">
        <v>1.68272188816578E-2</v>
      </c>
      <c r="R30" s="5">
        <v>1.5746677916801399E-2</v>
      </c>
      <c r="S30">
        <f t="shared" si="2"/>
        <v>6.4213877079487256</v>
      </c>
    </row>
    <row r="31" spans="1:19" x14ac:dyDescent="0.2">
      <c r="A31" s="6">
        <v>0.35</v>
      </c>
      <c r="C31" s="5">
        <v>5.9786143496265799E-2</v>
      </c>
      <c r="D31" s="5">
        <v>1.35</v>
      </c>
      <c r="G31" s="5">
        <v>5.8876451885862401E-2</v>
      </c>
      <c r="H31" s="5">
        <v>0.04</v>
      </c>
      <c r="N31">
        <f t="shared" ref="N31" si="6">100*(C31-G31)/C31</f>
        <v>1.5215759993956079</v>
      </c>
      <c r="S31" t="e">
        <f t="shared" si="2"/>
        <v>#DIV/0!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E35"/>
  <sheetViews>
    <sheetView topLeftCell="R1" workbookViewId="0">
      <selection activeCell="C11" sqref="C11"/>
    </sheetView>
  </sheetViews>
  <sheetFormatPr baseColWidth="10" defaultColWidth="8.83203125" defaultRowHeight="15" x14ac:dyDescent="0.2"/>
  <sheetData>
    <row r="2" spans="1:31" x14ac:dyDescent="0.2">
      <c r="B2" t="s">
        <v>6</v>
      </c>
      <c r="C2">
        <v>0.01</v>
      </c>
      <c r="D2">
        <v>0.02</v>
      </c>
      <c r="E2">
        <v>0.03</v>
      </c>
      <c r="F2">
        <v>0.04</v>
      </c>
      <c r="G2">
        <v>0.05</v>
      </c>
      <c r="H2">
        <v>0.06</v>
      </c>
      <c r="I2">
        <v>7.0000000000000007E-2</v>
      </c>
      <c r="J2">
        <v>0.08</v>
      </c>
      <c r="K2">
        <v>0.09</v>
      </c>
      <c r="L2">
        <v>0.1</v>
      </c>
      <c r="M2">
        <v>0.11</v>
      </c>
      <c r="N2">
        <v>0.12</v>
      </c>
      <c r="O2">
        <v>0.13</v>
      </c>
      <c r="P2">
        <v>0.14000000000000001</v>
      </c>
      <c r="Q2">
        <v>0.15</v>
      </c>
      <c r="R2">
        <v>0.16</v>
      </c>
      <c r="S2">
        <v>0.17</v>
      </c>
      <c r="T2">
        <v>0.18</v>
      </c>
      <c r="U2">
        <v>0.19</v>
      </c>
      <c r="V2">
        <v>0.2</v>
      </c>
      <c r="W2">
        <v>0.21</v>
      </c>
      <c r="X2">
        <v>0.22</v>
      </c>
      <c r="Y2">
        <v>0.23</v>
      </c>
      <c r="Z2">
        <v>0.24</v>
      </c>
      <c r="AA2">
        <v>0.25</v>
      </c>
      <c r="AB2">
        <v>0.26</v>
      </c>
      <c r="AC2">
        <v>0.27</v>
      </c>
      <c r="AD2">
        <v>0.28000000000000003</v>
      </c>
      <c r="AE2">
        <v>0.28999999999999998</v>
      </c>
    </row>
    <row r="4" spans="1:31" x14ac:dyDescent="0.2">
      <c r="B4" t="s">
        <v>10</v>
      </c>
      <c r="C4" s="4">
        <v>0.13209596236680099</v>
      </c>
      <c r="D4" s="4">
        <v>0.11686729970590699</v>
      </c>
      <c r="E4" s="4">
        <v>9.5026387049183897E-2</v>
      </c>
      <c r="F4" s="4">
        <v>7.0382338170656797E-2</v>
      </c>
      <c r="G4" s="4">
        <v>4.70238488082238E-2</v>
      </c>
      <c r="H4" s="4">
        <v>2.89948689715448E-2</v>
      </c>
      <c r="I4" s="4">
        <v>2.0219344601798101E-2</v>
      </c>
      <c r="J4" s="4">
        <v>2.0806780617611199E-2</v>
      </c>
      <c r="K4" s="4">
        <v>2.2469374132102801E-2</v>
      </c>
      <c r="L4" s="4">
        <v>2.18832278132782E-2</v>
      </c>
      <c r="M4" s="4">
        <v>2.02487388429415E-2</v>
      </c>
      <c r="N4" s="4">
        <v>1.9452631058963901E-2</v>
      </c>
      <c r="O4" s="4">
        <v>1.9930590714689101E-2</v>
      </c>
      <c r="P4" s="4">
        <v>2.05689809653073E-2</v>
      </c>
      <c r="Q4" s="4">
        <v>2.06496943262626E-2</v>
      </c>
      <c r="R4" s="4">
        <v>2.0201821496834901E-2</v>
      </c>
      <c r="S4" s="4">
        <v>1.9688871339519499E-2</v>
      </c>
      <c r="T4" s="4">
        <v>1.9421746701089499E-2</v>
      </c>
      <c r="U4" s="4">
        <v>1.9368124995017302E-2</v>
      </c>
      <c r="V4" s="4">
        <v>1.93391258168263E-2</v>
      </c>
      <c r="W4" s="4">
        <v>1.92789244692388E-2</v>
      </c>
      <c r="X4" s="4">
        <v>1.92729353386694E-2</v>
      </c>
      <c r="Y4" s="4">
        <v>1.9383228153468601E-2</v>
      </c>
      <c r="Z4" s="4">
        <v>1.9540600695560899E-2</v>
      </c>
      <c r="AA4" s="4">
        <v>1.96273944022923E-2</v>
      </c>
      <c r="AB4" s="4">
        <v>1.9595512595573801E-2</v>
      </c>
      <c r="AC4" s="4">
        <v>1.94899505504997E-2</v>
      </c>
      <c r="AD4" s="4">
        <v>1.9387643660942699E-2</v>
      </c>
      <c r="AE4" s="4">
        <v>1.93360373057293E-2</v>
      </c>
    </row>
    <row r="6" spans="1:31" x14ac:dyDescent="0.2">
      <c r="B6" t="s">
        <v>12</v>
      </c>
      <c r="C6" s="4">
        <v>5.8309719075428097E-2</v>
      </c>
      <c r="D6" s="4">
        <v>5.2510871933548101E-2</v>
      </c>
      <c r="E6" s="4">
        <v>4.4428905901797697E-2</v>
      </c>
      <c r="F6" s="4">
        <v>3.5872207162517898E-2</v>
      </c>
      <c r="G6" s="4">
        <v>2.8882679392554102E-2</v>
      </c>
      <c r="H6" s="4">
        <v>2.4938866123963101E-2</v>
      </c>
      <c r="I6" s="4">
        <v>2.37727698165308E-2</v>
      </c>
      <c r="J6" s="4">
        <v>2.4265083392322102E-2</v>
      </c>
      <c r="K6" s="4">
        <v>2.4711326077593899E-2</v>
      </c>
      <c r="L6" s="4">
        <v>2.45922572403009E-2</v>
      </c>
      <c r="M6" s="4">
        <v>2.4194103123259598E-2</v>
      </c>
      <c r="N6" s="4">
        <v>2.3922056627874499E-2</v>
      </c>
      <c r="O6" s="4">
        <v>2.3917869031873599E-2</v>
      </c>
      <c r="P6" s="4">
        <v>2.4002663747583301E-2</v>
      </c>
      <c r="Q6" s="4">
        <v>2.4027378389587101E-2</v>
      </c>
      <c r="R6" s="4">
        <v>2.3988676189189099E-2</v>
      </c>
      <c r="S6" s="4">
        <v>2.3939867784402599E-2</v>
      </c>
      <c r="T6" s="4">
        <v>2.39225310232964E-2</v>
      </c>
      <c r="U6" s="4">
        <v>2.3929488469873399E-2</v>
      </c>
      <c r="V6" s="4">
        <v>2.39335691471439E-2</v>
      </c>
      <c r="W6" s="4">
        <v>2.3917962322281099E-2</v>
      </c>
      <c r="X6" s="4">
        <v>2.38953216599244E-2</v>
      </c>
      <c r="Y6" s="4">
        <v>2.3882757093715099E-2</v>
      </c>
      <c r="Z6" s="4">
        <v>2.3882855768162702E-2</v>
      </c>
      <c r="AA6" s="4">
        <v>2.3884789275478002E-2</v>
      </c>
      <c r="AB6" s="4">
        <v>2.38829678087835E-2</v>
      </c>
      <c r="AC6" s="4">
        <v>2.3880576366879899E-2</v>
      </c>
      <c r="AD6" s="4">
        <v>2.38823748531873E-2</v>
      </c>
      <c r="AE6" s="4">
        <v>2.3887588129703499E-2</v>
      </c>
    </row>
    <row r="7" spans="1:31" x14ac:dyDescent="0.2">
      <c r="A7" s="4">
        <v>3.3018368859765598E-2</v>
      </c>
    </row>
    <row r="8" spans="1:31" x14ac:dyDescent="0.2">
      <c r="A8" s="4">
        <v>3.0879832810639801E-2</v>
      </c>
      <c r="B8" t="s">
        <v>13</v>
      </c>
      <c r="C8" s="4">
        <v>3.3018368859765598E-2</v>
      </c>
      <c r="D8" s="4">
        <v>3.0879832810639801E-2</v>
      </c>
      <c r="E8" s="4">
        <v>2.8902537924145998E-2</v>
      </c>
      <c r="F8" s="4">
        <v>2.7907649282164899E-2</v>
      </c>
      <c r="G8" s="4">
        <v>2.7857723097034E-2</v>
      </c>
      <c r="H8" s="4">
        <v>2.81493081637442E-2</v>
      </c>
      <c r="I8" s="4">
        <v>2.8464917519403998E-2</v>
      </c>
      <c r="J8" s="4">
        <v>2.8707041184945801E-2</v>
      </c>
      <c r="K8" s="4">
        <v>2.88467700705431E-2</v>
      </c>
      <c r="L8" s="4">
        <v>2.8889858018644299E-2</v>
      </c>
      <c r="M8" s="4">
        <v>2.88944870912302E-2</v>
      </c>
      <c r="N8" s="4">
        <v>2.8907472005552999E-2</v>
      </c>
      <c r="O8" s="4">
        <v>2.8921015911614799E-2</v>
      </c>
      <c r="P8" s="4">
        <v>2.8926173144009099E-2</v>
      </c>
      <c r="Q8" s="4">
        <v>2.8935146089298099E-2</v>
      </c>
      <c r="R8" s="4">
        <v>2.8956991271502801E-2</v>
      </c>
      <c r="S8" s="4">
        <v>2.8975906525231701E-2</v>
      </c>
      <c r="T8" s="4">
        <v>2.89749105921316E-2</v>
      </c>
      <c r="U8" s="4">
        <v>2.8958834673777401E-2</v>
      </c>
      <c r="V8" s="4">
        <v>2.8942090891168899E-2</v>
      </c>
      <c r="W8" s="4">
        <v>2.89266118561269E-2</v>
      </c>
      <c r="X8" s="4">
        <v>2.8906032485043202E-2</v>
      </c>
      <c r="Y8" s="4">
        <v>2.8881173183095001E-2</v>
      </c>
      <c r="Z8" s="4">
        <v>2.88602109914886E-2</v>
      </c>
      <c r="AA8" s="4">
        <v>2.8850380985061898E-2</v>
      </c>
      <c r="AB8" s="4">
        <v>2.8853083881944599E-2</v>
      </c>
      <c r="AC8" s="4">
        <v>2.8864512041518301E-2</v>
      </c>
      <c r="AD8" s="4">
        <v>2.8878191414613098E-2</v>
      </c>
      <c r="AE8" s="4">
        <v>2.8889421728738599E-2</v>
      </c>
    </row>
    <row r="9" spans="1:31" x14ac:dyDescent="0.2">
      <c r="A9" s="4">
        <v>2.8902537924145998E-2</v>
      </c>
    </row>
    <row r="10" spans="1:31" x14ac:dyDescent="0.2">
      <c r="A10" s="4">
        <v>2.7907649282164899E-2</v>
      </c>
      <c r="B10" t="s">
        <v>40</v>
      </c>
    </row>
    <row r="11" spans="1:31" x14ac:dyDescent="0.2">
      <c r="A11" s="4">
        <v>2.7857723097034E-2</v>
      </c>
    </row>
    <row r="12" spans="1:31" x14ac:dyDescent="0.2">
      <c r="A12" s="4">
        <v>2.81493081637442E-2</v>
      </c>
    </row>
    <row r="13" spans="1:31" x14ac:dyDescent="0.2">
      <c r="A13" s="4">
        <v>2.8464917519403998E-2</v>
      </c>
      <c r="B13" s="4"/>
    </row>
    <row r="14" spans="1:31" x14ac:dyDescent="0.2">
      <c r="A14" s="4">
        <v>2.8707041184945801E-2</v>
      </c>
      <c r="B14" s="4"/>
    </row>
    <row r="15" spans="1:31" x14ac:dyDescent="0.2">
      <c r="A15" s="4">
        <v>2.88467700705431E-2</v>
      </c>
      <c r="B15" s="4"/>
    </row>
    <row r="16" spans="1:31" x14ac:dyDescent="0.2">
      <c r="A16" s="4">
        <v>2.8889858018644299E-2</v>
      </c>
      <c r="B16" s="4"/>
    </row>
    <row r="17" spans="1:2" x14ac:dyDescent="0.2">
      <c r="A17" s="4">
        <v>2.88944870912302E-2</v>
      </c>
      <c r="B17" s="4"/>
    </row>
    <row r="18" spans="1:2" x14ac:dyDescent="0.2">
      <c r="A18" s="4">
        <v>2.8907472005552999E-2</v>
      </c>
      <c r="B18" s="4"/>
    </row>
    <row r="19" spans="1:2" x14ac:dyDescent="0.2">
      <c r="A19" s="4">
        <v>2.8921015911614799E-2</v>
      </c>
      <c r="B19" s="4"/>
    </row>
    <row r="20" spans="1:2" x14ac:dyDescent="0.2">
      <c r="A20" s="4">
        <v>2.8926173144009099E-2</v>
      </c>
      <c r="B20" s="4"/>
    </row>
    <row r="21" spans="1:2" x14ac:dyDescent="0.2">
      <c r="A21" s="4">
        <v>2.8935146089298099E-2</v>
      </c>
      <c r="B21" s="4"/>
    </row>
    <row r="22" spans="1:2" x14ac:dyDescent="0.2">
      <c r="A22" s="4">
        <v>2.8956991271502801E-2</v>
      </c>
      <c r="B22" s="4"/>
    </row>
    <row r="23" spans="1:2" x14ac:dyDescent="0.2">
      <c r="A23" s="4">
        <v>2.8975906525231701E-2</v>
      </c>
    </row>
    <row r="24" spans="1:2" x14ac:dyDescent="0.2">
      <c r="A24" s="4">
        <v>2.89749105921316E-2</v>
      </c>
    </row>
    <row r="25" spans="1:2" x14ac:dyDescent="0.2">
      <c r="A25" s="4">
        <v>2.8958834673777401E-2</v>
      </c>
    </row>
    <row r="26" spans="1:2" x14ac:dyDescent="0.2">
      <c r="A26" s="4">
        <v>2.8942090891168899E-2</v>
      </c>
    </row>
    <row r="27" spans="1:2" x14ac:dyDescent="0.2">
      <c r="A27" s="4">
        <v>2.89266118561269E-2</v>
      </c>
    </row>
    <row r="28" spans="1:2" x14ac:dyDescent="0.2">
      <c r="A28" s="4">
        <v>2.8906032485043202E-2</v>
      </c>
    </row>
    <row r="29" spans="1:2" x14ac:dyDescent="0.2">
      <c r="A29" s="4">
        <v>2.8881173183095001E-2</v>
      </c>
    </row>
    <row r="30" spans="1:2" x14ac:dyDescent="0.2">
      <c r="A30" s="4">
        <v>2.88602109914886E-2</v>
      </c>
    </row>
    <row r="31" spans="1:2" x14ac:dyDescent="0.2">
      <c r="A31" s="4">
        <v>2.8850380985061898E-2</v>
      </c>
    </row>
    <row r="32" spans="1:2" x14ac:dyDescent="0.2">
      <c r="A32" s="4">
        <v>2.8853083881944599E-2</v>
      </c>
    </row>
    <row r="33" spans="1:1" x14ac:dyDescent="0.2">
      <c r="A33" s="4">
        <v>2.8864512041518301E-2</v>
      </c>
    </row>
    <row r="34" spans="1:1" x14ac:dyDescent="0.2">
      <c r="A34" s="4">
        <v>2.8878191414613098E-2</v>
      </c>
    </row>
    <row r="35" spans="1:1" x14ac:dyDescent="0.2">
      <c r="A35" s="4">
        <v>2.8889421728738599E-2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8"/>
  <sheetViews>
    <sheetView tabSelected="1" topLeftCell="A2" zoomScaleNormal="100" workbookViewId="0">
      <selection activeCell="P25" sqref="P25"/>
    </sheetView>
  </sheetViews>
  <sheetFormatPr baseColWidth="10" defaultColWidth="8.83203125" defaultRowHeight="15" x14ac:dyDescent="0.2"/>
  <cols>
    <col min="2" max="2" width="14.33203125" bestFit="1" customWidth="1"/>
    <col min="3" max="3" width="14" bestFit="1" customWidth="1"/>
    <col min="5" max="5" width="18.33203125" bestFit="1" customWidth="1"/>
    <col min="7" max="7" width="14" bestFit="1" customWidth="1"/>
    <col min="9" max="9" width="22.6640625" bestFit="1" customWidth="1"/>
    <col min="10" max="10" width="9.5" bestFit="1" customWidth="1"/>
    <col min="13" max="13" width="16.33203125" bestFit="1" customWidth="1"/>
    <col min="14" max="14" width="12.83203125" bestFit="1" customWidth="1"/>
  </cols>
  <sheetData>
    <row r="1" spans="1:17" x14ac:dyDescent="0.2">
      <c r="A1" t="s">
        <v>0</v>
      </c>
      <c r="C1" t="s">
        <v>1</v>
      </c>
      <c r="D1" t="s">
        <v>2</v>
      </c>
      <c r="E1" t="s">
        <v>3</v>
      </c>
      <c r="G1" t="s">
        <v>9</v>
      </c>
      <c r="H1" t="s">
        <v>4</v>
      </c>
      <c r="I1" t="s">
        <v>49</v>
      </c>
      <c r="J1" t="s">
        <v>44</v>
      </c>
      <c r="L1" t="s">
        <v>45</v>
      </c>
      <c r="M1" t="s">
        <v>72</v>
      </c>
      <c r="N1" t="s">
        <v>74</v>
      </c>
      <c r="O1" t="s">
        <v>1</v>
      </c>
      <c r="P1" t="s">
        <v>14</v>
      </c>
      <c r="Q1" t="s">
        <v>73</v>
      </c>
    </row>
    <row r="2" spans="1:17" x14ac:dyDescent="0.2">
      <c r="A2">
        <v>0.05</v>
      </c>
      <c r="C2" s="5">
        <v>2.4392945273744799E-3</v>
      </c>
      <c r="D2" s="5">
        <v>0.7</v>
      </c>
      <c r="G2" s="5">
        <v>2.3710695789265798E-3</v>
      </c>
      <c r="H2" s="5" t="s">
        <v>50</v>
      </c>
      <c r="I2">
        <v>8</v>
      </c>
      <c r="L2">
        <f>100*(C2-G2)/G2</f>
        <v>2.8773912437772724</v>
      </c>
    </row>
    <row r="3" spans="1:17" x14ac:dyDescent="0.2">
      <c r="A3">
        <v>0.1</v>
      </c>
      <c r="C3" s="5">
        <v>2.7457486760900799E-3</v>
      </c>
      <c r="D3" s="5">
        <v>0.55000000000000004</v>
      </c>
      <c r="G3" s="5">
        <v>2.5815670999468601E-3</v>
      </c>
      <c r="H3" s="5">
        <v>4.0000000000000001E-3</v>
      </c>
      <c r="I3" s="5">
        <v>4</v>
      </c>
      <c r="L3">
        <f>100*(C3-G3)/G3</f>
        <v>6.3597640420270025</v>
      </c>
      <c r="N3" s="5">
        <v>6.7141199054180298E-2</v>
      </c>
      <c r="O3" s="5">
        <v>9.2746873316478602E-4</v>
      </c>
      <c r="P3" s="5">
        <v>8.7810688258221198E-4</v>
      </c>
      <c r="Q3">
        <f>100*(O3-P3)/O3</f>
        <v>5.3222118242344854</v>
      </c>
    </row>
    <row r="4" spans="1:17" x14ac:dyDescent="0.2">
      <c r="A4">
        <v>0.15</v>
      </c>
      <c r="C4" s="5">
        <v>2.0667605743544602E-3</v>
      </c>
      <c r="D4" s="5">
        <v>0.4</v>
      </c>
      <c r="G4" s="5">
        <v>2.00468177394963E-3</v>
      </c>
      <c r="H4" s="5">
        <v>2E-3</v>
      </c>
      <c r="I4" s="5">
        <v>2</v>
      </c>
      <c r="L4">
        <f>100*(C4-G4)/G4</f>
        <v>3.0966910165757824</v>
      </c>
      <c r="Q4" t="e">
        <f t="shared" ref="Q4:Q26" si="0">100*(O4-P4)/O4</f>
        <v>#DIV/0!</v>
      </c>
    </row>
    <row r="5" spans="1:17" x14ac:dyDescent="0.2">
      <c r="A5">
        <v>0.2</v>
      </c>
      <c r="C5" s="5">
        <v>2.3844907231887302E-3</v>
      </c>
      <c r="D5" s="5">
        <v>0.3</v>
      </c>
      <c r="G5" s="5">
        <v>2.2086867268496201E-3</v>
      </c>
      <c r="H5" s="5">
        <v>4.0000000000000001E-3</v>
      </c>
      <c r="I5" s="5">
        <v>4</v>
      </c>
      <c r="L5">
        <f>100*(C5-G5)/G5</f>
        <v>7.9596619204512429</v>
      </c>
      <c r="N5" s="5">
        <v>0.36936709849903998</v>
      </c>
      <c r="O5" s="5">
        <v>8.3661684894808402E-4</v>
      </c>
      <c r="P5" s="5">
        <v>7.7137079219709596E-4</v>
      </c>
      <c r="Q5">
        <f t="shared" si="0"/>
        <v>7.798797840734963</v>
      </c>
    </row>
    <row r="6" spans="1:17" x14ac:dyDescent="0.2">
      <c r="A6">
        <v>0.25</v>
      </c>
      <c r="C6" s="5">
        <v>2.8242953717986501E-3</v>
      </c>
      <c r="D6" s="5">
        <v>0.35</v>
      </c>
      <c r="G6" s="5">
        <v>2.65178042088942E-3</v>
      </c>
      <c r="H6" s="5">
        <v>4.0000000000000001E-3</v>
      </c>
      <c r="I6" s="5">
        <v>4</v>
      </c>
      <c r="L6">
        <f>100*(C6-G6)/G6</f>
        <v>6.5056272966736755</v>
      </c>
      <c r="Q6" t="e">
        <f t="shared" si="0"/>
        <v>#DIV/0!</v>
      </c>
    </row>
    <row r="7" spans="1:17" x14ac:dyDescent="0.2">
      <c r="A7">
        <v>0.3</v>
      </c>
      <c r="C7" s="5">
        <v>1.9440676589923E-3</v>
      </c>
      <c r="D7" s="5">
        <v>0.2</v>
      </c>
      <c r="G7" s="5">
        <v>1.89934515758009E-3</v>
      </c>
      <c r="H7" s="5">
        <v>2E-3</v>
      </c>
      <c r="I7" s="5">
        <v>2</v>
      </c>
      <c r="L7">
        <f>100*(C7-G7)/G7</f>
        <v>2.3546273953276544</v>
      </c>
      <c r="N7" s="5">
        <v>0.153375086883655</v>
      </c>
      <c r="O7" s="5">
        <v>6.45834333507644E-4</v>
      </c>
      <c r="P7">
        <v>6.2324424894995203E-4</v>
      </c>
      <c r="Q7">
        <f t="shared" si="0"/>
        <v>3.4978141275024979</v>
      </c>
    </row>
    <row r="8" spans="1:17" x14ac:dyDescent="0.2">
      <c r="A8">
        <v>0.35</v>
      </c>
      <c r="C8" s="5">
        <v>2.1691363718298901E-3</v>
      </c>
      <c r="D8" s="5">
        <v>0.35</v>
      </c>
      <c r="G8" s="5">
        <v>2.0567853427221399E-3</v>
      </c>
      <c r="H8" s="5">
        <v>3.0000000000000001E-3</v>
      </c>
      <c r="I8" s="5">
        <v>3</v>
      </c>
      <c r="L8">
        <f>100*(C8-G8)/G8</f>
        <v>5.4624576893889394</v>
      </c>
      <c r="Q8" t="e">
        <f t="shared" si="0"/>
        <v>#DIV/0!</v>
      </c>
    </row>
    <row r="9" spans="1:17" x14ac:dyDescent="0.2">
      <c r="Q9" t="e">
        <f t="shared" si="0"/>
        <v>#DIV/0!</v>
      </c>
    </row>
    <row r="10" spans="1:17" x14ac:dyDescent="0.2">
      <c r="K10" t="s">
        <v>52</v>
      </c>
      <c r="L10">
        <f>SUM(L3:L8)/6</f>
        <v>5.2898048934073829</v>
      </c>
      <c r="Q10" t="e">
        <f t="shared" si="0"/>
        <v>#DIV/0!</v>
      </c>
    </row>
    <row r="11" spans="1:17" x14ac:dyDescent="0.2">
      <c r="A11" t="s">
        <v>51</v>
      </c>
      <c r="C11" t="s">
        <v>1</v>
      </c>
      <c r="D11" t="s">
        <v>2</v>
      </c>
      <c r="E11" t="s">
        <v>3</v>
      </c>
      <c r="G11" t="s">
        <v>9</v>
      </c>
      <c r="H11" t="s">
        <v>15</v>
      </c>
      <c r="I11" t="s">
        <v>19</v>
      </c>
      <c r="Q11" t="e">
        <f t="shared" si="0"/>
        <v>#DIV/0!</v>
      </c>
    </row>
    <row r="12" spans="1:17" x14ac:dyDescent="0.2">
      <c r="A12">
        <v>0.1</v>
      </c>
      <c r="Q12" t="e">
        <f t="shared" si="0"/>
        <v>#DIV/0!</v>
      </c>
    </row>
    <row r="13" spans="1:17" x14ac:dyDescent="0.2">
      <c r="A13">
        <v>0.15</v>
      </c>
      <c r="Q13" t="e">
        <f t="shared" si="0"/>
        <v>#DIV/0!</v>
      </c>
    </row>
    <row r="14" spans="1:17" x14ac:dyDescent="0.2">
      <c r="A14">
        <v>0.2</v>
      </c>
      <c r="C14" s="5">
        <v>7.9425530760610808E-3</v>
      </c>
      <c r="D14" s="5">
        <v>0.3</v>
      </c>
      <c r="G14" s="5">
        <v>7.5306469305153299E-3</v>
      </c>
      <c r="H14" s="5">
        <v>4.0000000000000001E-3</v>
      </c>
      <c r="L14">
        <f>100*(C14-G14)/G14</f>
        <v>5.4697312109620269</v>
      </c>
      <c r="Q14" t="e">
        <f t="shared" si="0"/>
        <v>#DIV/0!</v>
      </c>
    </row>
    <row r="15" spans="1:17" x14ac:dyDescent="0.2">
      <c r="A15">
        <v>0.25</v>
      </c>
      <c r="Q15" t="e">
        <f t="shared" si="0"/>
        <v>#DIV/0!</v>
      </c>
    </row>
    <row r="16" spans="1:17" x14ac:dyDescent="0.2">
      <c r="A16">
        <v>0.3</v>
      </c>
      <c r="C16" s="5">
        <v>6.8922758250332204E-3</v>
      </c>
      <c r="D16" s="5">
        <v>0.2</v>
      </c>
      <c r="G16" s="5">
        <v>6.7958269567081602E-3</v>
      </c>
      <c r="H16" s="5">
        <v>2E-3</v>
      </c>
      <c r="L16">
        <f>100*(C16-G16)/G16</f>
        <v>1.4192366718498544</v>
      </c>
      <c r="Q16" t="e">
        <f t="shared" si="0"/>
        <v>#DIV/0!</v>
      </c>
    </row>
    <row r="17" spans="1:17" x14ac:dyDescent="0.2">
      <c r="A17">
        <v>0.35</v>
      </c>
      <c r="Q17" t="e">
        <f t="shared" si="0"/>
        <v>#DIV/0!</v>
      </c>
    </row>
    <row r="18" spans="1:17" x14ac:dyDescent="0.2">
      <c r="Q18" t="e">
        <f t="shared" si="0"/>
        <v>#DIV/0!</v>
      </c>
    </row>
    <row r="19" spans="1:17" x14ac:dyDescent="0.2">
      <c r="A19" t="s">
        <v>53</v>
      </c>
      <c r="L19" t="e">
        <f>100*(C19-G19)/C19</f>
        <v>#DIV/0!</v>
      </c>
      <c r="Q19" t="e">
        <f t="shared" si="0"/>
        <v>#DIV/0!</v>
      </c>
    </row>
    <row r="20" spans="1:17" x14ac:dyDescent="0.2">
      <c r="A20" s="6" t="s">
        <v>0</v>
      </c>
      <c r="C20" t="s">
        <v>1</v>
      </c>
      <c r="D20" t="s">
        <v>2</v>
      </c>
      <c r="E20" t="s">
        <v>3</v>
      </c>
      <c r="G20" t="s">
        <v>9</v>
      </c>
      <c r="H20" t="s">
        <v>4</v>
      </c>
      <c r="I20" t="s">
        <v>19</v>
      </c>
      <c r="L20" t="e">
        <f>100*(C20-G20)/C20</f>
        <v>#VALUE!</v>
      </c>
      <c r="Q20" t="e">
        <f t="shared" si="0"/>
        <v>#DIV/0!</v>
      </c>
    </row>
    <row r="21" spans="1:17" x14ac:dyDescent="0.2">
      <c r="A21">
        <v>0.1</v>
      </c>
      <c r="C21" s="5">
        <v>6.0748613173382598E-3</v>
      </c>
      <c r="D21" s="5">
        <v>0.9</v>
      </c>
      <c r="G21" s="5">
        <v>5.97192886263068E-3</v>
      </c>
      <c r="H21" s="5">
        <v>4.0000000000000001E-3</v>
      </c>
      <c r="L21">
        <f>100*(C21-G21)/C21</f>
        <v>1.6944000748428658</v>
      </c>
      <c r="N21" s="5">
        <v>9.9319531740457698E-2</v>
      </c>
      <c r="O21" s="5">
        <v>2.0292403394568202E-3</v>
      </c>
      <c r="P21" s="5">
        <v>1.9876397923514E-3</v>
      </c>
      <c r="Q21">
        <f t="shared" si="0"/>
        <v>2.0500552002901551</v>
      </c>
    </row>
    <row r="22" spans="1:17" x14ac:dyDescent="0.2">
      <c r="A22">
        <v>0.15</v>
      </c>
      <c r="L22" t="e">
        <f>100*(C22-G22)/C22</f>
        <v>#DIV/0!</v>
      </c>
      <c r="Q22" t="e">
        <f t="shared" si="0"/>
        <v>#DIV/0!</v>
      </c>
    </row>
    <row r="23" spans="1:17" x14ac:dyDescent="0.2">
      <c r="A23">
        <v>0.2</v>
      </c>
      <c r="C23" s="5">
        <v>6.0642404926395197E-3</v>
      </c>
      <c r="D23" s="5">
        <v>0.45</v>
      </c>
      <c r="G23" s="5">
        <v>5.9607130616107801E-3</v>
      </c>
      <c r="H23" s="5">
        <v>4.0000000000000001E-3</v>
      </c>
      <c r="L23">
        <f>100*(C23-G23)/C23</f>
        <v>1.7071788487675601</v>
      </c>
      <c r="N23" s="5">
        <v>0.74501472883570297</v>
      </c>
      <c r="O23" s="5">
        <v>2.0311124551069099E-3</v>
      </c>
      <c r="P23">
        <v>1.98961658917382E-3</v>
      </c>
      <c r="Q23">
        <f t="shared" si="0"/>
        <v>2.0430117411153241</v>
      </c>
    </row>
    <row r="24" spans="1:17" x14ac:dyDescent="0.2">
      <c r="A24">
        <v>0.25</v>
      </c>
      <c r="L24" t="e">
        <f>100*(C24-G24)/C24</f>
        <v>#DIV/0!</v>
      </c>
      <c r="Q24" t="e">
        <f t="shared" si="0"/>
        <v>#DIV/0!</v>
      </c>
    </row>
    <row r="25" spans="1:17" x14ac:dyDescent="0.2">
      <c r="A25">
        <v>0.3</v>
      </c>
      <c r="C25" s="5">
        <v>5.7400569347223198E-3</v>
      </c>
      <c r="D25">
        <v>0.2</v>
      </c>
      <c r="G25" s="5">
        <v>5.5106773376637696E-3</v>
      </c>
      <c r="H25" s="5">
        <v>1E-3</v>
      </c>
      <c r="L25">
        <f>100*(C25-G25)/C25</f>
        <v>3.9961205902158294</v>
      </c>
      <c r="N25" s="5">
        <v>0.312490295306246</v>
      </c>
      <c r="O25" s="5">
        <v>1.9140824862014299E-3</v>
      </c>
      <c r="P25" s="5">
        <v>1.7782690135582401E-3</v>
      </c>
      <c r="Q25">
        <f t="shared" si="0"/>
        <v>7.0954869302794181</v>
      </c>
    </row>
    <row r="26" spans="1:17" x14ac:dyDescent="0.2">
      <c r="A26">
        <v>0.35</v>
      </c>
      <c r="L26" t="e">
        <f>100*(C26-G26)/C26</f>
        <v>#DIV/0!</v>
      </c>
      <c r="Q26" t="e">
        <f t="shared" si="0"/>
        <v>#DIV/0!</v>
      </c>
    </row>
    <row r="27" spans="1:17" x14ac:dyDescent="0.2">
      <c r="L27" t="e">
        <f>100*(C27-G27)/C27</f>
        <v>#DIV/0!</v>
      </c>
    </row>
    <row r="28" spans="1:17" x14ac:dyDescent="0.2">
      <c r="L28" t="e">
        <f>100*(C28-G28)/C28</f>
        <v>#DIV/0!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E36"/>
  <sheetViews>
    <sheetView workbookViewId="0">
      <selection activeCell="B4" sqref="B4:U8"/>
    </sheetView>
  </sheetViews>
  <sheetFormatPr baseColWidth="10" defaultColWidth="8.83203125" defaultRowHeight="15" x14ac:dyDescent="0.2"/>
  <sheetData>
    <row r="2" spans="1:31" x14ac:dyDescent="0.2">
      <c r="B2" t="s">
        <v>6</v>
      </c>
    </row>
    <row r="4" spans="1:31" x14ac:dyDescent="0.2">
      <c r="B4" t="s">
        <v>10</v>
      </c>
      <c r="C4" s="4">
        <v>5.2667999610878802E-3</v>
      </c>
      <c r="D4" s="4">
        <v>4.8113966639886799E-3</v>
      </c>
      <c r="E4" s="4">
        <v>4.2157030723789001E-3</v>
      </c>
      <c r="F4" s="4">
        <v>3.6322352503690902E-3</v>
      </c>
      <c r="G4" s="4">
        <v>3.1909364031095701E-3</v>
      </c>
      <c r="H4" s="4">
        <v>2.95280112431512E-3</v>
      </c>
      <c r="I4" s="4">
        <v>2.8916268011071802E-3</v>
      </c>
      <c r="J4" s="4">
        <v>2.9064409263301E-3</v>
      </c>
      <c r="K4" s="4">
        <v>2.9231778357276098E-3</v>
      </c>
      <c r="L4" s="4">
        <v>2.9224987497133898E-3</v>
      </c>
      <c r="M4" s="4">
        <v>2.9170894089518701E-3</v>
      </c>
      <c r="N4" s="4">
        <v>2.9178051488496699E-3</v>
      </c>
      <c r="O4" s="4">
        <v>2.9246310558298499E-3</v>
      </c>
      <c r="P4" s="4">
        <v>2.9303330315972498E-3</v>
      </c>
      <c r="Q4" s="4">
        <v>2.9314362480984601E-3</v>
      </c>
      <c r="R4" s="4">
        <v>2.9295921380288201E-3</v>
      </c>
      <c r="S4" s="4">
        <v>2.9268548139379401E-3</v>
      </c>
      <c r="T4" s="4">
        <v>2.9239480095143598E-3</v>
      </c>
      <c r="U4" s="4">
        <v>2.9213469496061602E-3</v>
      </c>
    </row>
    <row r="6" spans="1:31" x14ac:dyDescent="0.2">
      <c r="B6" t="s">
        <v>12</v>
      </c>
      <c r="C6" s="4">
        <v>3.29199413137113E-3</v>
      </c>
      <c r="D6" s="4">
        <v>3.0053245784428602E-3</v>
      </c>
      <c r="E6" s="4">
        <v>2.68951334083967E-3</v>
      </c>
      <c r="F6" s="4">
        <v>2.45253909122067E-3</v>
      </c>
      <c r="G6" s="4">
        <v>2.3345168803885802E-3</v>
      </c>
      <c r="H6" s="4">
        <v>2.3276138518578998E-3</v>
      </c>
      <c r="I6" s="4">
        <v>2.3809642503420502E-3</v>
      </c>
      <c r="J6" s="4">
        <v>2.4325059712645299E-3</v>
      </c>
      <c r="K6" s="4">
        <v>2.4571469774885301E-3</v>
      </c>
      <c r="L6" s="4">
        <v>2.4529725011008699E-3</v>
      </c>
      <c r="M6" s="4">
        <v>2.4350848336108098E-3</v>
      </c>
      <c r="N6" s="4">
        <v>2.4178340175376998E-3</v>
      </c>
      <c r="O6" s="4">
        <v>2.40656187538071E-3</v>
      </c>
      <c r="P6" s="4">
        <v>2.4013842013679999E-3</v>
      </c>
      <c r="Q6" s="4">
        <v>2.4015446476843999E-3</v>
      </c>
      <c r="R6" s="4">
        <v>2.4056922125494399E-3</v>
      </c>
      <c r="S6" s="4">
        <v>2.4114974458973402E-3</v>
      </c>
      <c r="T6" s="4">
        <v>2.41619150955928E-3</v>
      </c>
      <c r="U6" s="4">
        <v>2.4187488917840299E-3</v>
      </c>
      <c r="V6" s="4">
        <v>2.4191915790692901E-3</v>
      </c>
      <c r="W6" s="4">
        <v>2.4174738829134202E-3</v>
      </c>
      <c r="X6" s="4">
        <v>2.4138637677828898E-3</v>
      </c>
      <c r="Y6" s="4">
        <v>2.40942209746845E-3</v>
      </c>
      <c r="Z6" s="4">
        <v>2.4058052187011401E-3</v>
      </c>
      <c r="AA6" s="4">
        <v>2.40416427867827E-3</v>
      </c>
      <c r="AB6" s="4">
        <v>2.4047489164379398E-3</v>
      </c>
      <c r="AC6" s="4">
        <v>2.40683881718224E-3</v>
      </c>
      <c r="AD6" s="4">
        <v>2.4093186851099398E-3</v>
      </c>
      <c r="AE6" s="4">
        <v>2.4112944463816001E-3</v>
      </c>
    </row>
    <row r="8" spans="1:31" x14ac:dyDescent="0.2">
      <c r="A8" s="4">
        <v>3.3419353045017102E-3</v>
      </c>
      <c r="B8" t="s">
        <v>13</v>
      </c>
      <c r="C8" s="4">
        <v>3.3419353045017102E-3</v>
      </c>
      <c r="D8" s="4">
        <v>3.1557334660976002E-3</v>
      </c>
      <c r="E8" s="4">
        <v>2.9892345455189199E-3</v>
      </c>
      <c r="F8" s="4">
        <v>2.9129201712027098E-3</v>
      </c>
      <c r="G8" s="4">
        <v>2.9088252249440702E-3</v>
      </c>
      <c r="H8" s="4">
        <v>2.9277548063273602E-3</v>
      </c>
      <c r="I8" s="4">
        <v>2.9473121374187401E-3</v>
      </c>
      <c r="J8" s="4">
        <v>2.96186217307691E-3</v>
      </c>
      <c r="K8" s="4">
        <v>2.9707625394751898E-3</v>
      </c>
      <c r="L8" s="4">
        <v>2.9762251050665998E-3</v>
      </c>
      <c r="M8" s="4">
        <v>2.9807936818378E-3</v>
      </c>
      <c r="N8" s="4">
        <v>2.98552332944888E-3</v>
      </c>
      <c r="O8" s="4">
        <v>2.9889800860117802E-3</v>
      </c>
      <c r="P8" s="4">
        <v>2.9901946654202899E-3</v>
      </c>
      <c r="Q8" s="4">
        <v>2.99069184230936E-3</v>
      </c>
      <c r="R8" s="4">
        <v>2.9920707269649799E-3</v>
      </c>
      <c r="S8" s="4">
        <v>2.9931403473294998E-3</v>
      </c>
      <c r="T8" s="4">
        <v>2.9924171695151301E-3</v>
      </c>
      <c r="U8" s="4">
        <v>2.99038110040918E-3</v>
      </c>
    </row>
    <row r="9" spans="1:31" x14ac:dyDescent="0.2">
      <c r="A9" s="4">
        <v>3.1557334660976002E-3</v>
      </c>
    </row>
    <row r="10" spans="1:31" x14ac:dyDescent="0.2">
      <c r="A10" s="4">
        <v>2.9892345455189199E-3</v>
      </c>
    </row>
    <row r="11" spans="1:31" x14ac:dyDescent="0.2">
      <c r="A11" s="4">
        <v>2.9129201712027098E-3</v>
      </c>
    </row>
    <row r="12" spans="1:31" x14ac:dyDescent="0.2">
      <c r="A12" s="4">
        <v>2.9088252249440702E-3</v>
      </c>
    </row>
    <row r="13" spans="1:31" x14ac:dyDescent="0.2">
      <c r="A13" s="4">
        <v>2.9277548063273602E-3</v>
      </c>
    </row>
    <row r="14" spans="1:31" x14ac:dyDescent="0.2">
      <c r="A14" s="4">
        <v>2.9473121374187401E-3</v>
      </c>
    </row>
    <row r="15" spans="1:31" x14ac:dyDescent="0.2">
      <c r="A15" s="4">
        <v>2.96186217307691E-3</v>
      </c>
    </row>
    <row r="16" spans="1:31" x14ac:dyDescent="0.2">
      <c r="A16" s="4">
        <v>2.9707625394751898E-3</v>
      </c>
    </row>
    <row r="17" spans="1:1" x14ac:dyDescent="0.2">
      <c r="A17" s="4">
        <v>2.9762251050665998E-3</v>
      </c>
    </row>
    <row r="18" spans="1:1" x14ac:dyDescent="0.2">
      <c r="A18" s="4">
        <v>2.9807936818378E-3</v>
      </c>
    </row>
    <row r="19" spans="1:1" x14ac:dyDescent="0.2">
      <c r="A19" s="4">
        <v>2.98552332944888E-3</v>
      </c>
    </row>
    <row r="20" spans="1:1" x14ac:dyDescent="0.2">
      <c r="A20" s="4">
        <v>2.9889800860117802E-3</v>
      </c>
    </row>
    <row r="21" spans="1:1" x14ac:dyDescent="0.2">
      <c r="A21" s="4">
        <v>2.9901946654202899E-3</v>
      </c>
    </row>
    <row r="22" spans="1:1" x14ac:dyDescent="0.2">
      <c r="A22" s="4">
        <v>2.99069184230936E-3</v>
      </c>
    </row>
    <row r="23" spans="1:1" x14ac:dyDescent="0.2">
      <c r="A23" s="4">
        <v>2.9920707269649799E-3</v>
      </c>
    </row>
    <row r="24" spans="1:1" x14ac:dyDescent="0.2">
      <c r="A24" s="4">
        <v>2.9931403473294998E-3</v>
      </c>
    </row>
    <row r="25" spans="1:1" x14ac:dyDescent="0.2">
      <c r="A25" s="4">
        <v>2.9924171695151301E-3</v>
      </c>
    </row>
    <row r="26" spans="1:1" x14ac:dyDescent="0.2">
      <c r="A26" s="4">
        <v>2.99038110040918E-3</v>
      </c>
    </row>
    <row r="27" spans="1:1" x14ac:dyDescent="0.2">
      <c r="A27" s="4">
        <v>2.4191915790692901E-3</v>
      </c>
    </row>
    <row r="28" spans="1:1" x14ac:dyDescent="0.2">
      <c r="A28" s="4">
        <v>2.4174738829134202E-3</v>
      </c>
    </row>
    <row r="29" spans="1:1" x14ac:dyDescent="0.2">
      <c r="A29" s="4">
        <v>2.4138637677828898E-3</v>
      </c>
    </row>
    <row r="30" spans="1:1" x14ac:dyDescent="0.2">
      <c r="A30" s="4">
        <v>2.40942209746845E-3</v>
      </c>
    </row>
    <row r="31" spans="1:1" x14ac:dyDescent="0.2">
      <c r="A31" s="4">
        <v>2.4058052187011401E-3</v>
      </c>
    </row>
    <row r="32" spans="1:1" x14ac:dyDescent="0.2">
      <c r="A32" s="4">
        <v>2.40416427867827E-3</v>
      </c>
    </row>
    <row r="33" spans="1:1" x14ac:dyDescent="0.2">
      <c r="A33" s="4">
        <v>2.4047489164379398E-3</v>
      </c>
    </row>
    <row r="34" spans="1:1" x14ac:dyDescent="0.2">
      <c r="A34" s="4">
        <v>2.40683881718224E-3</v>
      </c>
    </row>
    <row r="35" spans="1:1" x14ac:dyDescent="0.2">
      <c r="A35" s="4">
        <v>2.4093186851099398E-3</v>
      </c>
    </row>
    <row r="36" spans="1:1" x14ac:dyDescent="0.2">
      <c r="A36" s="4">
        <v>2.4112944463816001E-3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24"/>
  <sheetViews>
    <sheetView zoomScale="60" zoomScaleNormal="60" workbookViewId="0">
      <selection activeCell="R19" sqref="R19"/>
    </sheetView>
  </sheetViews>
  <sheetFormatPr baseColWidth="10" defaultColWidth="8.83203125" defaultRowHeight="15" x14ac:dyDescent="0.2"/>
  <sheetData>
    <row r="1" spans="1:32" x14ac:dyDescent="0.2">
      <c r="A1" t="s">
        <v>18</v>
      </c>
      <c r="B1" s="3" t="s">
        <v>8</v>
      </c>
      <c r="C1" s="3" t="s">
        <v>7</v>
      </c>
    </row>
    <row r="2" spans="1:32" x14ac:dyDescent="0.2">
      <c r="A2" t="s">
        <v>19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</row>
    <row r="3" spans="1:32" x14ac:dyDescent="0.2">
      <c r="A3">
        <v>0.5</v>
      </c>
      <c r="B3" s="4">
        <v>5.7418205406906297</v>
      </c>
      <c r="C3" s="4">
        <v>5.1466188642010504</v>
      </c>
      <c r="D3" s="4">
        <v>4.1655836433316704</v>
      </c>
      <c r="E3" s="4">
        <v>3.0570562425557202</v>
      </c>
      <c r="F3" s="4">
        <v>1.9843362333296799</v>
      </c>
      <c r="G3" s="4">
        <v>1.0499779733874901</v>
      </c>
      <c r="H3" s="4">
        <v>0.35202024460975301</v>
      </c>
      <c r="I3" s="4">
        <v>0.18622448891662799</v>
      </c>
      <c r="J3" s="4">
        <v>0.38207095286285803</v>
      </c>
      <c r="K3" s="4">
        <v>0.39731717809560801</v>
      </c>
      <c r="L3" s="4">
        <v>0.27883582132076001</v>
      </c>
      <c r="M3" s="4">
        <v>0.113314609624052</v>
      </c>
      <c r="N3" s="4">
        <v>3.9831510320913498E-2</v>
      </c>
      <c r="O3" s="4">
        <v>0.11516244031117399</v>
      </c>
      <c r="P3" s="4">
        <v>0.12750438621136601</v>
      </c>
      <c r="Q3" s="4">
        <v>8.7530379443633705E-2</v>
      </c>
      <c r="R3" s="4">
        <v>2.9630305061445601E-2</v>
      </c>
      <c r="S3" s="4">
        <v>6.5410957691558094E-2</v>
      </c>
      <c r="T3" s="4">
        <v>0.110177779457964</v>
      </c>
      <c r="U3" s="4">
        <v>0.117865629798083</v>
      </c>
      <c r="V3" s="4">
        <v>9.0889206660441701E-2</v>
      </c>
      <c r="W3" s="4">
        <v>4.6319229593399097E-2</v>
      </c>
      <c r="X3" s="4">
        <v>2.3473542956288399E-2</v>
      </c>
      <c r="Y3" s="4">
        <v>4.9642548477521801E-2</v>
      </c>
      <c r="Z3" s="4">
        <v>6.3257998101146601E-2</v>
      </c>
      <c r="AA3" s="4">
        <v>5.7053843318645298E-2</v>
      </c>
      <c r="AB3" s="4">
        <v>3.7703990373268902E-2</v>
      </c>
      <c r="AC3" s="4">
        <v>2.29774437587047E-2</v>
      </c>
      <c r="AD3" s="4">
        <v>3.20692789864582E-2</v>
      </c>
    </row>
    <row r="4" spans="1:32" x14ac:dyDescent="0.2">
      <c r="A4">
        <v>0.1</v>
      </c>
      <c r="B4" s="4">
        <v>5.1115187157433999</v>
      </c>
      <c r="C4" s="4">
        <v>4.50831265960168</v>
      </c>
      <c r="D4" s="4">
        <v>3.5949938848679102</v>
      </c>
      <c r="E4" s="4">
        <v>2.5744096681881401</v>
      </c>
      <c r="F4" s="4">
        <v>1.59720948494673</v>
      </c>
      <c r="G4" s="4">
        <v>0.76431315231799102</v>
      </c>
      <c r="H4" s="4">
        <v>0.22153402615038201</v>
      </c>
      <c r="I4" s="4">
        <v>0.32538526238524301</v>
      </c>
      <c r="J4" s="4">
        <v>0.48364031169562199</v>
      </c>
      <c r="K4" s="4">
        <v>0.44998798031984999</v>
      </c>
      <c r="L4" s="4">
        <v>0.29755306135399601</v>
      </c>
      <c r="M4" s="4">
        <v>0.11736074434258099</v>
      </c>
      <c r="N4" s="4">
        <v>7.8717452845956798E-2</v>
      </c>
      <c r="O4" s="4">
        <v>0.14800000727877499</v>
      </c>
      <c r="P4" s="4">
        <v>0.16398314432102801</v>
      </c>
      <c r="Q4" s="4">
        <v>0.12300379248092901</v>
      </c>
      <c r="R4" s="4">
        <v>5.2062182363666602E-2</v>
      </c>
      <c r="S4" s="4">
        <v>4.0321214984565999E-2</v>
      </c>
      <c r="T4" s="4">
        <v>8.5431572802831507E-2</v>
      </c>
      <c r="U4" s="4">
        <v>0.100350328821131</v>
      </c>
      <c r="V4" s="4">
        <v>8.3734303032745094E-2</v>
      </c>
      <c r="W4" s="4">
        <v>4.89186626312689E-2</v>
      </c>
      <c r="X4" s="4">
        <v>2.4944346026909401E-2</v>
      </c>
      <c r="Y4" s="4">
        <v>3.9450547679081301E-2</v>
      </c>
      <c r="Z4" s="4">
        <v>5.0928601233715703E-2</v>
      </c>
      <c r="AA4" s="4">
        <v>4.6326480483986299E-2</v>
      </c>
      <c r="AB4" s="4">
        <v>3.2900675922666003E-2</v>
      </c>
      <c r="AC4" s="4">
        <v>2.71640062503463E-2</v>
      </c>
      <c r="AD4" s="4">
        <v>3.5639830960685299E-2</v>
      </c>
    </row>
    <row r="5" spans="1:32" x14ac:dyDescent="0.2">
      <c r="A5">
        <v>0.05</v>
      </c>
      <c r="B5" s="4">
        <v>4.0651866681720801</v>
      </c>
      <c r="C5" s="4">
        <v>3.5763620280301698</v>
      </c>
      <c r="D5" s="4">
        <v>2.86532132425685</v>
      </c>
      <c r="E5" s="4">
        <v>2.05481619057689</v>
      </c>
      <c r="F5" s="4">
        <v>1.2587748490649999</v>
      </c>
      <c r="G5" s="4">
        <v>0.57116693768668103</v>
      </c>
      <c r="H5" s="4">
        <v>0.13209789944995201</v>
      </c>
      <c r="I5" s="4">
        <v>0.29930016674903398</v>
      </c>
      <c r="J5" s="4">
        <v>0.42202969394522999</v>
      </c>
      <c r="K5" s="4">
        <v>0.38955060341028902</v>
      </c>
      <c r="L5" s="4">
        <v>0.263317183960533</v>
      </c>
      <c r="M5" s="4">
        <v>0.11499660066489301</v>
      </c>
      <c r="N5" s="4">
        <v>6.1874048619420002E-2</v>
      </c>
      <c r="O5" s="4">
        <v>0.113474430344656</v>
      </c>
      <c r="P5" s="4">
        <v>0.12685367631309499</v>
      </c>
      <c r="Q5" s="4">
        <v>9.4273407831899497E-2</v>
      </c>
      <c r="R5" s="4">
        <v>4.2870759584123598E-2</v>
      </c>
      <c r="S5" s="4">
        <v>5.2423417340601797E-2</v>
      </c>
      <c r="T5" s="4">
        <v>8.8849901655733199E-2</v>
      </c>
      <c r="U5" s="4">
        <v>0.101740683136851</v>
      </c>
      <c r="V5" s="4">
        <v>8.9668757167722907E-2</v>
      </c>
      <c r="W5" s="4">
        <v>6.3246253237789707E-2</v>
      </c>
      <c r="X5" s="4">
        <v>3.9843934508113202E-2</v>
      </c>
      <c r="Y5" s="4">
        <v>3.7390713541898601E-2</v>
      </c>
      <c r="Z5" s="4">
        <v>4.1935893425834501E-2</v>
      </c>
      <c r="AA5" s="4">
        <v>4.0241877018071803E-2</v>
      </c>
      <c r="AB5" s="4">
        <v>3.6980514670220503E-2</v>
      </c>
      <c r="AC5" s="4">
        <v>4.2112944450798398E-2</v>
      </c>
      <c r="AD5" s="4">
        <v>5.1936252718024302E-2</v>
      </c>
    </row>
    <row r="6" spans="1:32" x14ac:dyDescent="0.2">
      <c r="A6">
        <v>0.01</v>
      </c>
      <c r="B6" s="4">
        <v>0.13209596236680099</v>
      </c>
      <c r="C6" s="4">
        <v>0.11686729970590699</v>
      </c>
      <c r="D6" s="4">
        <v>9.5026387049183897E-2</v>
      </c>
      <c r="E6" s="4">
        <v>7.0382338170656797E-2</v>
      </c>
      <c r="F6" s="4">
        <v>4.70238488082238E-2</v>
      </c>
      <c r="G6" s="4">
        <v>2.89948689715448E-2</v>
      </c>
      <c r="H6" s="4">
        <v>2.0219344601798101E-2</v>
      </c>
      <c r="I6" s="4">
        <v>2.0806780617611199E-2</v>
      </c>
      <c r="J6" s="4">
        <v>2.2469374132102801E-2</v>
      </c>
      <c r="K6" s="4">
        <v>2.18832278132782E-2</v>
      </c>
      <c r="L6" s="4">
        <v>2.02487388429415E-2</v>
      </c>
      <c r="M6" s="4">
        <v>1.9452631058963901E-2</v>
      </c>
      <c r="N6" s="4">
        <v>1.9930590714689101E-2</v>
      </c>
      <c r="O6" s="4">
        <v>2.05689809653073E-2</v>
      </c>
      <c r="P6" s="4">
        <v>2.06496943262626E-2</v>
      </c>
      <c r="Q6" s="4">
        <v>2.0201821496834901E-2</v>
      </c>
      <c r="R6" s="4">
        <v>1.9688871339519499E-2</v>
      </c>
      <c r="S6" s="4">
        <v>1.9421746701089499E-2</v>
      </c>
      <c r="T6" s="4">
        <v>1.9368124995017302E-2</v>
      </c>
      <c r="U6" s="4">
        <v>1.93391258168263E-2</v>
      </c>
      <c r="V6" s="4">
        <v>1.92789244692388E-2</v>
      </c>
      <c r="W6" s="4">
        <v>1.92729353386694E-2</v>
      </c>
      <c r="X6" s="4">
        <v>1.9383228153468601E-2</v>
      </c>
      <c r="Y6" s="4">
        <v>1.9540600695560899E-2</v>
      </c>
      <c r="Z6" s="4">
        <v>1.96273944022923E-2</v>
      </c>
      <c r="AA6" s="4">
        <v>1.9595512595573801E-2</v>
      </c>
      <c r="AB6" s="4">
        <v>1.94899505504997E-2</v>
      </c>
      <c r="AC6" s="4">
        <v>1.9387643660942699E-2</v>
      </c>
      <c r="AD6" s="4">
        <v>1.93360373057293E-2</v>
      </c>
    </row>
    <row r="7" spans="1:32" x14ac:dyDescent="0.2">
      <c r="A7">
        <v>1E-3</v>
      </c>
      <c r="B7" s="4">
        <v>5.2667999610878802E-3</v>
      </c>
      <c r="C7" s="4">
        <v>4.8113966639886799E-3</v>
      </c>
      <c r="D7" s="4">
        <v>4.2157030723789001E-3</v>
      </c>
      <c r="E7" s="4">
        <v>3.6322352503690902E-3</v>
      </c>
      <c r="F7" s="4">
        <v>3.1909364031095701E-3</v>
      </c>
      <c r="G7" s="4">
        <v>2.95280112431512E-3</v>
      </c>
      <c r="H7" s="4">
        <v>2.8916268011071802E-3</v>
      </c>
      <c r="I7" s="4">
        <v>2.9064409263301E-3</v>
      </c>
      <c r="J7" s="4">
        <v>2.9231778357276098E-3</v>
      </c>
      <c r="K7" s="4">
        <v>2.9224987497133898E-3</v>
      </c>
      <c r="L7" s="4">
        <v>2.9170894089518701E-3</v>
      </c>
      <c r="M7" s="4">
        <v>2.9178051488496699E-3</v>
      </c>
      <c r="N7" s="4">
        <v>2.9246310558298499E-3</v>
      </c>
      <c r="O7" s="4">
        <v>2.9303330315972498E-3</v>
      </c>
      <c r="P7" s="4">
        <v>2.9314362480984601E-3</v>
      </c>
      <c r="Q7" s="4">
        <v>2.9295921380288201E-3</v>
      </c>
      <c r="R7" s="4">
        <v>2.9268548139379401E-3</v>
      </c>
      <c r="S7" s="4">
        <v>2.9239480095143598E-3</v>
      </c>
      <c r="T7" s="4">
        <v>2.9213469496061602E-3</v>
      </c>
      <c r="U7" s="4"/>
      <c r="V7" s="4"/>
      <c r="W7" s="4"/>
      <c r="X7" s="4"/>
      <c r="Y7" s="4"/>
      <c r="Z7" s="4"/>
      <c r="AA7" s="4"/>
      <c r="AB7" s="4"/>
      <c r="AC7" s="4"/>
      <c r="AD7" s="4"/>
    </row>
    <row r="9" spans="1:32" x14ac:dyDescent="0.2">
      <c r="A9" t="s">
        <v>20</v>
      </c>
      <c r="AF9" t="s">
        <v>43</v>
      </c>
    </row>
    <row r="10" spans="1:32" x14ac:dyDescent="0.2">
      <c r="A10" t="s">
        <v>19</v>
      </c>
    </row>
    <row r="11" spans="1:32" x14ac:dyDescent="0.2">
      <c r="A11">
        <v>0.5</v>
      </c>
      <c r="B11">
        <v>5.6695059597448498</v>
      </c>
      <c r="C11">
        <v>5.0800575617731898</v>
      </c>
      <c r="D11">
        <v>4.1051697628146098</v>
      </c>
      <c r="E11">
        <v>3.0117521376553902</v>
      </c>
      <c r="F11">
        <v>1.9534378436637301</v>
      </c>
      <c r="G11">
        <v>1.03150610470647</v>
      </c>
      <c r="H11">
        <v>0.348156397369007</v>
      </c>
      <c r="I11">
        <v>0.19360724096791401</v>
      </c>
      <c r="J11">
        <v>0.38418809012073801</v>
      </c>
      <c r="K11">
        <v>0.39896296379776103</v>
      </c>
      <c r="L11">
        <v>0.28334919577481199</v>
      </c>
      <c r="M11">
        <v>0.124922754461524</v>
      </c>
      <c r="N11">
        <v>6.0418911382801102E-2</v>
      </c>
      <c r="O11">
        <v>0.11575560957929899</v>
      </c>
      <c r="P11">
        <v>0.126075076819049</v>
      </c>
      <c r="Q11">
        <v>8.9929038053980601E-2</v>
      </c>
      <c r="R11">
        <v>5.3366452837475403E-2</v>
      </c>
      <c r="S11">
        <v>8.2785352158816702E-2</v>
      </c>
      <c r="T11">
        <v>0.12232562587859901</v>
      </c>
      <c r="U11">
        <v>0.129053568720916</v>
      </c>
      <c r="V11">
        <v>0.10378582352362201</v>
      </c>
      <c r="W11">
        <v>6.6342963765988305E-2</v>
      </c>
      <c r="X11">
        <v>5.1387181908290697E-2</v>
      </c>
      <c r="Y11">
        <v>6.3896794186213204E-2</v>
      </c>
      <c r="Z11">
        <v>7.3478698123004504E-2</v>
      </c>
      <c r="AA11">
        <v>6.9003278767807999E-2</v>
      </c>
      <c r="AB11">
        <v>5.71979593232773E-2</v>
      </c>
      <c r="AC11">
        <v>5.1777291433137397E-2</v>
      </c>
      <c r="AD11">
        <v>5.72784288296058E-2</v>
      </c>
      <c r="AF11" s="4">
        <f>MIN(B11:AD11)</f>
        <v>5.1387181908290697E-2</v>
      </c>
    </row>
    <row r="12" spans="1:32" x14ac:dyDescent="0.2">
      <c r="A12">
        <v>0.1</v>
      </c>
      <c r="B12">
        <v>4.0804408721893202</v>
      </c>
      <c r="C12">
        <v>3.5893852597531501</v>
      </c>
      <c r="D12">
        <v>2.8750652701765298</v>
      </c>
      <c r="E12">
        <v>2.0592741273560602</v>
      </c>
      <c r="F12">
        <v>1.26182864804373</v>
      </c>
      <c r="G12">
        <v>0.57773351471025003</v>
      </c>
      <c r="H12">
        <v>0.16403076961037599</v>
      </c>
      <c r="I12">
        <v>0.31105935934479201</v>
      </c>
      <c r="J12">
        <v>0.43521683029013197</v>
      </c>
      <c r="K12">
        <v>0.40745784372072402</v>
      </c>
      <c r="L12">
        <v>0.28706262026055401</v>
      </c>
      <c r="M12">
        <v>0.14790248637936801</v>
      </c>
      <c r="N12">
        <v>8.6529455063855495E-2</v>
      </c>
      <c r="O12">
        <v>0.108316556958961</v>
      </c>
      <c r="P12">
        <v>0.115225984883788</v>
      </c>
      <c r="Q12">
        <v>8.7757707993148595E-2</v>
      </c>
      <c r="R12">
        <v>6.3653679077931305E-2</v>
      </c>
      <c r="S12">
        <v>9.1417510094777193E-2</v>
      </c>
      <c r="T12">
        <v>0.124305404014581</v>
      </c>
      <c r="U12">
        <v>0.13512561821281199</v>
      </c>
      <c r="V12">
        <v>0.12288261848889601</v>
      </c>
      <c r="W12">
        <v>9.8218740976718094E-2</v>
      </c>
      <c r="X12">
        <v>7.7013239796382998E-2</v>
      </c>
      <c r="Y12">
        <v>6.9997539648025006E-2</v>
      </c>
      <c r="Z12">
        <v>7.0785317547061105E-2</v>
      </c>
      <c r="AA12">
        <v>7.0753924100748697E-2</v>
      </c>
      <c r="AB12">
        <v>7.2273567481822606E-2</v>
      </c>
      <c r="AC12">
        <v>7.9417707286647293E-2</v>
      </c>
      <c r="AD12">
        <v>8.8692371875953996E-2</v>
      </c>
      <c r="AF12" s="4">
        <f t="shared" ref="AF12:AF15" si="0">MIN(B12:AD12)</f>
        <v>6.3653679077931305E-2</v>
      </c>
    </row>
    <row r="13" spans="1:32" x14ac:dyDescent="0.2">
      <c r="A13">
        <v>0.05</v>
      </c>
      <c r="B13">
        <v>1.5048528675820001</v>
      </c>
      <c r="C13">
        <v>1.3306272834598101</v>
      </c>
      <c r="D13">
        <v>1.0727239026114901</v>
      </c>
      <c r="E13">
        <v>0.77095315564070499</v>
      </c>
      <c r="F13">
        <v>0.46875644105631697</v>
      </c>
      <c r="G13">
        <v>0.205660960156898</v>
      </c>
      <c r="H13">
        <v>3.1221416696792299E-2</v>
      </c>
      <c r="I13">
        <v>0.124036128575397</v>
      </c>
      <c r="J13">
        <v>0.16964590528978701</v>
      </c>
      <c r="K13">
        <v>0.157524408473356</v>
      </c>
      <c r="L13">
        <v>0.111037372143692</v>
      </c>
      <c r="M13">
        <v>5.7400422472365403E-2</v>
      </c>
      <c r="N13">
        <v>3.4014450251652999E-2</v>
      </c>
      <c r="O13">
        <v>4.84107150571043E-2</v>
      </c>
      <c r="P13">
        <v>5.3151064018003499E-2</v>
      </c>
      <c r="Q13">
        <v>4.4346271374759903E-2</v>
      </c>
      <c r="R13">
        <v>3.5319146215256399E-2</v>
      </c>
      <c r="S13">
        <v>3.9622706266641203E-2</v>
      </c>
      <c r="T13">
        <v>4.9998294311749798E-2</v>
      </c>
      <c r="U13">
        <v>5.4237413369956501E-2</v>
      </c>
      <c r="V13">
        <v>5.0845312906740402E-2</v>
      </c>
      <c r="W13">
        <v>4.3259836942817702E-2</v>
      </c>
      <c r="X13">
        <v>3.6666933757562803E-2</v>
      </c>
      <c r="Y13">
        <v>3.4288327433909402E-2</v>
      </c>
      <c r="Z13">
        <v>3.4019947055398202E-2</v>
      </c>
      <c r="AA13">
        <v>3.40357790775749E-2</v>
      </c>
      <c r="AB13">
        <v>3.4771830281760098E-2</v>
      </c>
      <c r="AC13">
        <v>3.7021648345423298E-2</v>
      </c>
      <c r="AD13">
        <v>3.9796296375923801E-2</v>
      </c>
      <c r="AF13" s="4">
        <f t="shared" si="0"/>
        <v>3.1221416696792299E-2</v>
      </c>
    </row>
    <row r="14" spans="1:32" x14ac:dyDescent="0.2">
      <c r="A14">
        <v>0.01</v>
      </c>
      <c r="B14">
        <v>5.8309719075428097E-2</v>
      </c>
      <c r="C14">
        <v>5.2510871933548101E-2</v>
      </c>
      <c r="D14">
        <v>4.4428905901797697E-2</v>
      </c>
      <c r="E14">
        <v>3.5872207162517898E-2</v>
      </c>
      <c r="F14">
        <v>2.8882679392554102E-2</v>
      </c>
      <c r="G14">
        <v>2.4938866123963101E-2</v>
      </c>
      <c r="H14">
        <v>2.37727698165308E-2</v>
      </c>
      <c r="I14">
        <v>2.4265083392322102E-2</v>
      </c>
      <c r="J14">
        <v>2.4711326077593899E-2</v>
      </c>
      <c r="K14">
        <v>2.45922572403009E-2</v>
      </c>
      <c r="L14">
        <v>2.4194103123259598E-2</v>
      </c>
      <c r="M14">
        <v>2.3922056627874499E-2</v>
      </c>
      <c r="N14">
        <v>2.3917869031873599E-2</v>
      </c>
      <c r="O14">
        <v>2.4002663747583301E-2</v>
      </c>
      <c r="P14">
        <v>2.4027378389587101E-2</v>
      </c>
      <c r="Q14">
        <v>2.3988676189189099E-2</v>
      </c>
      <c r="R14">
        <v>2.3939867784402599E-2</v>
      </c>
      <c r="S14">
        <v>2.39225310232964E-2</v>
      </c>
      <c r="T14">
        <v>2.3929488469873399E-2</v>
      </c>
      <c r="U14">
        <v>2.39335691471439E-2</v>
      </c>
      <c r="V14">
        <v>2.3917962322281099E-2</v>
      </c>
      <c r="W14">
        <v>2.38953216599244E-2</v>
      </c>
      <c r="X14">
        <v>2.3882757093715099E-2</v>
      </c>
      <c r="Y14">
        <v>2.3882855768162702E-2</v>
      </c>
      <c r="Z14">
        <v>2.3884789275478002E-2</v>
      </c>
      <c r="AA14">
        <v>2.38829678087835E-2</v>
      </c>
      <c r="AB14">
        <v>2.3880576366879899E-2</v>
      </c>
      <c r="AC14">
        <v>2.38823748531873E-2</v>
      </c>
      <c r="AD14">
        <v>2.3887588129703499E-2</v>
      </c>
      <c r="AF14" s="4">
        <f t="shared" si="0"/>
        <v>2.37727698165308E-2</v>
      </c>
    </row>
    <row r="15" spans="1:32" x14ac:dyDescent="0.2">
      <c r="A15">
        <v>1E-3</v>
      </c>
      <c r="B15">
        <v>3.29199413137113E-3</v>
      </c>
      <c r="C15">
        <v>3.0053245784428602E-3</v>
      </c>
      <c r="D15">
        <v>2.68951334083967E-3</v>
      </c>
      <c r="E15">
        <v>2.45253909122067E-3</v>
      </c>
      <c r="F15">
        <v>2.3345168803885802E-3</v>
      </c>
      <c r="G15">
        <v>2.3276138518578998E-3</v>
      </c>
      <c r="H15">
        <v>2.3809642503420502E-3</v>
      </c>
      <c r="I15">
        <v>2.4325059712645299E-3</v>
      </c>
      <c r="J15">
        <v>2.4571469774885301E-3</v>
      </c>
      <c r="K15">
        <v>2.4529725011008699E-3</v>
      </c>
      <c r="L15">
        <v>2.4350848336108098E-3</v>
      </c>
      <c r="M15">
        <v>2.4178340175376998E-3</v>
      </c>
      <c r="N15">
        <v>2.40656187538071E-3</v>
      </c>
      <c r="O15">
        <v>2.4013842013679999E-3</v>
      </c>
      <c r="P15">
        <v>2.4015446476843999E-3</v>
      </c>
      <c r="Q15">
        <v>2.4056922125494399E-3</v>
      </c>
      <c r="R15">
        <v>2.4114974458973402E-3</v>
      </c>
      <c r="S15">
        <v>2.41619150955928E-3</v>
      </c>
      <c r="T15">
        <v>2.4187488917840299E-3</v>
      </c>
      <c r="U15">
        <v>2.4191915790692901E-3</v>
      </c>
      <c r="V15">
        <v>2.4174738829134202E-3</v>
      </c>
      <c r="W15">
        <v>2.4138637677828898E-3</v>
      </c>
      <c r="X15">
        <v>2.40942209746845E-3</v>
      </c>
      <c r="Y15">
        <v>2.4058052187011401E-3</v>
      </c>
      <c r="Z15">
        <v>2.40416427867827E-3</v>
      </c>
      <c r="AA15">
        <v>2.4047489164379398E-3</v>
      </c>
      <c r="AB15">
        <v>2.40683881718224E-3</v>
      </c>
      <c r="AC15">
        <v>2.4093186851099398E-3</v>
      </c>
      <c r="AD15">
        <v>2.4112944463816001E-3</v>
      </c>
      <c r="AF15" s="4">
        <f t="shared" si="0"/>
        <v>2.3276138518578998E-3</v>
      </c>
    </row>
    <row r="17" spans="1:30" x14ac:dyDescent="0.2">
      <c r="A17" t="s">
        <v>42</v>
      </c>
    </row>
    <row r="18" spans="1:30" x14ac:dyDescent="0.2">
      <c r="A18">
        <v>0.5</v>
      </c>
      <c r="B18">
        <f>100*(B11-$AF$11)/$AF$11</f>
        <v>10932.918617454179</v>
      </c>
      <c r="C18">
        <f t="shared" ref="C18:AD18" si="1">100*(C11-$AF$11)/$AF$11</f>
        <v>9785.8457948510004</v>
      </c>
      <c r="D18">
        <f t="shared" si="1"/>
        <v>7888.7038175025727</v>
      </c>
      <c r="E18">
        <f t="shared" si="1"/>
        <v>5760.9015435607698</v>
      </c>
      <c r="F18">
        <f t="shared" si="1"/>
        <v>3701.4107236897667</v>
      </c>
      <c r="G18">
        <f t="shared" si="1"/>
        <v>1907.3217997191805</v>
      </c>
      <c r="H18">
        <f t="shared" si="1"/>
        <v>577.51603501112834</v>
      </c>
      <c r="I18">
        <f t="shared" si="1"/>
        <v>276.76174053179176</v>
      </c>
      <c r="J18">
        <f t="shared" si="1"/>
        <v>647.63409055275315</v>
      </c>
      <c r="K18">
        <f t="shared" si="1"/>
        <v>676.38615114130869</v>
      </c>
      <c r="L18">
        <f t="shared" si="1"/>
        <v>451.40053463234779</v>
      </c>
      <c r="M18">
        <f t="shared" si="1"/>
        <v>143.10100266729987</v>
      </c>
      <c r="N18">
        <f t="shared" si="1"/>
        <v>17.57584117110973</v>
      </c>
      <c r="O18">
        <f t="shared" si="1"/>
        <v>125.26164167921267</v>
      </c>
      <c r="P18">
        <f t="shared" si="1"/>
        <v>145.34343417401593</v>
      </c>
      <c r="Q18">
        <f t="shared" si="1"/>
        <v>75.002860079921305</v>
      </c>
      <c r="R18">
        <f t="shared" si="1"/>
        <v>3.8516821815935685</v>
      </c>
      <c r="S18">
        <f t="shared" si="1"/>
        <v>61.101171701848656</v>
      </c>
      <c r="T18">
        <f t="shared" si="1"/>
        <v>138.04696295062496</v>
      </c>
      <c r="U18">
        <f t="shared" si="1"/>
        <v>151.13961094662554</v>
      </c>
      <c r="V18">
        <f t="shared" si="1"/>
        <v>101.96831129764176</v>
      </c>
      <c r="W18">
        <f t="shared" si="1"/>
        <v>29.104109823318947</v>
      </c>
      <c r="X18">
        <f t="shared" si="1"/>
        <v>0</v>
      </c>
      <c r="Y18">
        <f t="shared" si="1"/>
        <v>24.343837924889659</v>
      </c>
      <c r="Z18">
        <f t="shared" si="1"/>
        <v>42.990324423977825</v>
      </c>
      <c r="AA18">
        <f t="shared" si="1"/>
        <v>34.281110980081124</v>
      </c>
      <c r="AB18">
        <f t="shared" si="1"/>
        <v>11.307834364914074</v>
      </c>
      <c r="AC18">
        <f t="shared" si="1"/>
        <v>0.75915726521629123</v>
      </c>
      <c r="AD18">
        <f t="shared" si="1"/>
        <v>11.464428876113601</v>
      </c>
    </row>
    <row r="19" spans="1:30" x14ac:dyDescent="0.2">
      <c r="A19">
        <v>0.1</v>
      </c>
      <c r="B19">
        <f>100*(B12-$AF$12)/$AF$12</f>
        <v>6310.3771082793655</v>
      </c>
      <c r="C19">
        <f t="shared" ref="C19:AD19" si="2">100*(C12-$AF$12)/$AF$12</f>
        <v>5538.9281998274755</v>
      </c>
      <c r="D19">
        <f t="shared" si="2"/>
        <v>4416.730708772674</v>
      </c>
      <c r="E19">
        <f t="shared" si="2"/>
        <v>3135.1219241151598</v>
      </c>
      <c r="F19">
        <f t="shared" si="2"/>
        <v>1882.3341970522567</v>
      </c>
      <c r="G19">
        <f t="shared" si="2"/>
        <v>807.61998847376901</v>
      </c>
      <c r="H19">
        <f t="shared" si="2"/>
        <v>157.69251987705667</v>
      </c>
      <c r="I19">
        <f t="shared" si="2"/>
        <v>388.67459642664409</v>
      </c>
      <c r="J19">
        <f t="shared" si="2"/>
        <v>583.72612014663798</v>
      </c>
      <c r="K19">
        <f t="shared" si="2"/>
        <v>540.11672164600679</v>
      </c>
      <c r="L19">
        <f t="shared" si="2"/>
        <v>350.97569287252475</v>
      </c>
      <c r="M19">
        <f t="shared" si="2"/>
        <v>132.35496914214613</v>
      </c>
      <c r="N19">
        <f t="shared" si="2"/>
        <v>35.93786929097584</v>
      </c>
      <c r="O19">
        <f t="shared" si="2"/>
        <v>70.165430385176734</v>
      </c>
      <c r="P19">
        <f t="shared" si="2"/>
        <v>81.020149271680978</v>
      </c>
      <c r="Q19">
        <f t="shared" si="2"/>
        <v>37.867455996858695</v>
      </c>
      <c r="R19">
        <f t="shared" si="2"/>
        <v>0</v>
      </c>
      <c r="S19">
        <f t="shared" si="2"/>
        <v>43.617009132896442</v>
      </c>
      <c r="T19">
        <f t="shared" si="2"/>
        <v>95.283926734845409</v>
      </c>
      <c r="U19">
        <f t="shared" si="2"/>
        <v>112.2824951679187</v>
      </c>
      <c r="V19">
        <f t="shared" si="2"/>
        <v>93.048729105588095</v>
      </c>
      <c r="W19">
        <f t="shared" si="2"/>
        <v>54.301750345755707</v>
      </c>
      <c r="X19">
        <f t="shared" si="2"/>
        <v>20.987884615586101</v>
      </c>
      <c r="Y19">
        <f t="shared" si="2"/>
        <v>9.9662119487656042</v>
      </c>
      <c r="Z19">
        <f t="shared" si="2"/>
        <v>11.2038118965575</v>
      </c>
      <c r="AA19">
        <f t="shared" si="2"/>
        <v>11.154492757794173</v>
      </c>
      <c r="AB19">
        <f t="shared" si="2"/>
        <v>13.541854184638657</v>
      </c>
      <c r="AC19">
        <f t="shared" si="2"/>
        <v>24.765305693353657</v>
      </c>
      <c r="AD19">
        <f t="shared" si="2"/>
        <v>39.335813987071788</v>
      </c>
    </row>
    <row r="20" spans="1:30" x14ac:dyDescent="0.2">
      <c r="A20">
        <v>0.05</v>
      </c>
      <c r="B20">
        <f>100*(B13-$AF$13)/$AF$13</f>
        <v>4719.9378080643255</v>
      </c>
      <c r="C20">
        <f t="shared" ref="C20:AD20" si="3">100*(C13-$AF$13)/$AF$13</f>
        <v>4161.9055258838371</v>
      </c>
      <c r="D20">
        <f t="shared" si="3"/>
        <v>3335.8591508812033</v>
      </c>
      <c r="E20">
        <f t="shared" si="3"/>
        <v>2369.3086900182625</v>
      </c>
      <c r="F20">
        <f t="shared" si="3"/>
        <v>1401.3938848728708</v>
      </c>
      <c r="G20">
        <f t="shared" si="3"/>
        <v>558.71757887920478</v>
      </c>
      <c r="H20">
        <f t="shared" si="3"/>
        <v>0</v>
      </c>
      <c r="I20">
        <f t="shared" si="3"/>
        <v>297.27898890680558</v>
      </c>
      <c r="J20">
        <f t="shared" si="3"/>
        <v>443.36389324452563</v>
      </c>
      <c r="K20">
        <f t="shared" si="3"/>
        <v>404.53959217532918</v>
      </c>
      <c r="L20">
        <f t="shared" si="3"/>
        <v>255.64488704031177</v>
      </c>
      <c r="M20">
        <f t="shared" si="3"/>
        <v>83.849512755334857</v>
      </c>
      <c r="N20">
        <f t="shared" si="3"/>
        <v>8.9458898742018231</v>
      </c>
      <c r="O20">
        <f t="shared" si="3"/>
        <v>55.0561126909979</v>
      </c>
      <c r="P20">
        <f t="shared" si="3"/>
        <v>70.239116738941135</v>
      </c>
      <c r="Q20">
        <f t="shared" si="3"/>
        <v>42.037985673199948</v>
      </c>
      <c r="R20">
        <f t="shared" si="3"/>
        <v>13.124739207894757</v>
      </c>
      <c r="S20">
        <f t="shared" si="3"/>
        <v>26.908739124294943</v>
      </c>
      <c r="T20">
        <f t="shared" si="3"/>
        <v>60.141017293704813</v>
      </c>
      <c r="U20">
        <f t="shared" si="3"/>
        <v>73.718617244965941</v>
      </c>
      <c r="V20">
        <f t="shared" si="3"/>
        <v>62.853958231704034</v>
      </c>
      <c r="W20">
        <f t="shared" si="3"/>
        <v>38.558212661958528</v>
      </c>
      <c r="X20">
        <f t="shared" si="3"/>
        <v>17.441607834951252</v>
      </c>
      <c r="Y20">
        <f t="shared" si="3"/>
        <v>9.8230992107164621</v>
      </c>
      <c r="Z20">
        <f t="shared" si="3"/>
        <v>8.9634957496769339</v>
      </c>
      <c r="AA20">
        <f t="shared" si="3"/>
        <v>9.0142046022906754</v>
      </c>
      <c r="AB20">
        <f t="shared" si="3"/>
        <v>11.371724798550124</v>
      </c>
      <c r="AC20">
        <f t="shared" si="3"/>
        <v>18.577733691459674</v>
      </c>
      <c r="AD20">
        <f t="shared" si="3"/>
        <v>27.46473602529538</v>
      </c>
    </row>
    <row r="21" spans="1:30" x14ac:dyDescent="0.2">
      <c r="A21">
        <v>0.01</v>
      </c>
      <c r="B21">
        <f>100*(B14-$AF$14)/$AF$14</f>
        <v>145.27945008276419</v>
      </c>
      <c r="C21">
        <f t="shared" ref="C21:AD21" si="4">100*(C14-$AF$14)/$AF$14</f>
        <v>120.88663769012634</v>
      </c>
      <c r="D21">
        <f t="shared" si="4"/>
        <v>86.889900691770876</v>
      </c>
      <c r="E21">
        <f t="shared" si="4"/>
        <v>50.896203679108311</v>
      </c>
      <c r="F21">
        <f t="shared" si="4"/>
        <v>21.494801049518593</v>
      </c>
      <c r="G21">
        <f t="shared" si="4"/>
        <v>4.9051764536980258</v>
      </c>
      <c r="H21">
        <f t="shared" si="4"/>
        <v>0</v>
      </c>
      <c r="I21">
        <f t="shared" si="4"/>
        <v>2.0709138211104143</v>
      </c>
      <c r="J21">
        <f t="shared" si="4"/>
        <v>3.9480307440257012</v>
      </c>
      <c r="K21">
        <f t="shared" si="4"/>
        <v>3.4471684624660566</v>
      </c>
      <c r="L21">
        <f t="shared" si="4"/>
        <v>1.7723357857771236</v>
      </c>
      <c r="M21">
        <f t="shared" si="4"/>
        <v>0.62797399081317784</v>
      </c>
      <c r="N21">
        <f t="shared" si="4"/>
        <v>0.61035889575602231</v>
      </c>
      <c r="O21">
        <f t="shared" si="4"/>
        <v>0.96704731012303069</v>
      </c>
      <c r="P21">
        <f t="shared" si="4"/>
        <v>1.0710092892888479</v>
      </c>
      <c r="Q21">
        <f t="shared" si="4"/>
        <v>0.90820873766322441</v>
      </c>
      <c r="R21">
        <f t="shared" si="4"/>
        <v>0.70289650369475942</v>
      </c>
      <c r="S21">
        <f t="shared" si="4"/>
        <v>0.62996953203770312</v>
      </c>
      <c r="T21">
        <f t="shared" si="4"/>
        <v>0.65923598533992422</v>
      </c>
      <c r="U21">
        <f t="shared" si="4"/>
        <v>0.67640132746031345</v>
      </c>
      <c r="V21">
        <f t="shared" si="4"/>
        <v>0.61075132124207099</v>
      </c>
      <c r="W21">
        <f t="shared" si="4"/>
        <v>0.51551352383171389</v>
      </c>
      <c r="X21">
        <f t="shared" si="4"/>
        <v>0.4626607586458738</v>
      </c>
      <c r="Y21">
        <f t="shared" si="4"/>
        <v>0.46307583206123065</v>
      </c>
      <c r="Z21">
        <f t="shared" si="4"/>
        <v>0.47120911787614433</v>
      </c>
      <c r="AA21">
        <f t="shared" si="4"/>
        <v>0.4635471301962949</v>
      </c>
      <c r="AB21">
        <f t="shared" si="4"/>
        <v>0.45348754554521026</v>
      </c>
      <c r="AC21">
        <f t="shared" si="4"/>
        <v>0.4610528663777485</v>
      </c>
      <c r="AD21">
        <f t="shared" si="4"/>
        <v>0.48298247978179587</v>
      </c>
    </row>
    <row r="22" spans="1:30" x14ac:dyDescent="0.2">
      <c r="A22">
        <v>1E-3</v>
      </c>
      <c r="B22">
        <f>100*(B15-$AF$15)/$AF$15</f>
        <v>41.432142137471061</v>
      </c>
      <c r="C22">
        <f t="shared" ref="C22:AD22" si="5">100*(C15-$AF$15)/$AF$15</f>
        <v>29.116115031022527</v>
      </c>
      <c r="D22">
        <f t="shared" si="5"/>
        <v>15.548089675308567</v>
      </c>
      <c r="E22">
        <f t="shared" si="5"/>
        <v>5.3670946863911695</v>
      </c>
      <c r="F22">
        <f t="shared" si="5"/>
        <v>0.29657103669366691</v>
      </c>
      <c r="G22">
        <f t="shared" si="5"/>
        <v>0</v>
      </c>
      <c r="H22">
        <f t="shared" si="5"/>
        <v>2.2920639710734716</v>
      </c>
      <c r="I22">
        <f t="shared" si="5"/>
        <v>4.5064227179652354</v>
      </c>
      <c r="J22">
        <f t="shared" si="5"/>
        <v>5.5650607821927602</v>
      </c>
      <c r="K22">
        <f t="shared" si="5"/>
        <v>5.385715037866305</v>
      </c>
      <c r="L22">
        <f t="shared" si="5"/>
        <v>4.6172169695212437</v>
      </c>
      <c r="M22">
        <f t="shared" si="5"/>
        <v>3.8760796000499091</v>
      </c>
      <c r="N22">
        <f t="shared" si="5"/>
        <v>3.3918007258718568</v>
      </c>
      <c r="O22">
        <f t="shared" si="5"/>
        <v>3.1693551510366111</v>
      </c>
      <c r="P22">
        <f t="shared" si="5"/>
        <v>3.1762483183148484</v>
      </c>
      <c r="Q22">
        <f t="shared" si="5"/>
        <v>3.3544378776238162</v>
      </c>
      <c r="R22">
        <f t="shared" si="5"/>
        <v>3.6038449407097537</v>
      </c>
      <c r="S22">
        <f t="shared" si="5"/>
        <v>3.8055134287277741</v>
      </c>
      <c r="T22">
        <f t="shared" si="5"/>
        <v>3.9153848415786916</v>
      </c>
      <c r="U22">
        <f t="shared" si="5"/>
        <v>3.9344037731298522</v>
      </c>
      <c r="V22">
        <f t="shared" si="5"/>
        <v>3.860607333290877</v>
      </c>
      <c r="W22">
        <f t="shared" si="5"/>
        <v>3.7055079327761069</v>
      </c>
      <c r="X22">
        <f t="shared" si="5"/>
        <v>3.5146828820102995</v>
      </c>
      <c r="Y22">
        <f t="shared" si="5"/>
        <v>3.3592928990703492</v>
      </c>
      <c r="Z22">
        <f t="shared" si="5"/>
        <v>3.2887940909643438</v>
      </c>
      <c r="AA22">
        <f t="shared" si="5"/>
        <v>3.3139115630571978</v>
      </c>
      <c r="AB22">
        <f t="shared" si="5"/>
        <v>3.4036988249190396</v>
      </c>
      <c r="AC22">
        <f t="shared" si="5"/>
        <v>3.5102400334498465</v>
      </c>
      <c r="AD22">
        <f t="shared" si="5"/>
        <v>3.5951235836178959</v>
      </c>
    </row>
    <row r="24" spans="1:30" x14ac:dyDescent="0.2">
      <c r="A24" s="3" t="s">
        <v>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"/>
  <sheetViews>
    <sheetView topLeftCell="D1" zoomScale="80" zoomScaleNormal="80" workbookViewId="0">
      <selection activeCell="J45" sqref="J45"/>
    </sheetView>
  </sheetViews>
  <sheetFormatPr baseColWidth="10" defaultColWidth="8.83203125" defaultRowHeight="15" x14ac:dyDescent="0.2"/>
  <sheetData>
    <row r="1" spans="1:8" x14ac:dyDescent="0.2">
      <c r="A1" t="s">
        <v>24</v>
      </c>
    </row>
    <row r="2" spans="1:8" x14ac:dyDescent="0.2">
      <c r="A2" t="s">
        <v>23</v>
      </c>
      <c r="B2" t="s">
        <v>26</v>
      </c>
      <c r="C2" t="s">
        <v>25</v>
      </c>
      <c r="D2" t="s">
        <v>28</v>
      </c>
      <c r="E2" t="s">
        <v>21</v>
      </c>
      <c r="F2" t="s">
        <v>30</v>
      </c>
      <c r="G2" t="s">
        <v>22</v>
      </c>
    </row>
    <row r="3" spans="1:8" x14ac:dyDescent="0.2">
      <c r="A3">
        <v>0.5</v>
      </c>
      <c r="B3">
        <v>14</v>
      </c>
      <c r="C3">
        <v>14</v>
      </c>
      <c r="D3">
        <v>11.5</v>
      </c>
      <c r="E3">
        <v>8.5</v>
      </c>
      <c r="F3">
        <v>8.5</v>
      </c>
      <c r="G3">
        <v>8.5</v>
      </c>
    </row>
    <row r="4" spans="1:8" x14ac:dyDescent="0.2">
      <c r="A4">
        <v>0.1</v>
      </c>
      <c r="B4">
        <v>2.2999999999999998</v>
      </c>
      <c r="C4">
        <v>1.7</v>
      </c>
      <c r="D4">
        <v>1.7</v>
      </c>
      <c r="E4">
        <v>1.7</v>
      </c>
      <c r="F4">
        <v>1.6</v>
      </c>
      <c r="G4">
        <v>1.4</v>
      </c>
    </row>
    <row r="5" spans="1:8" x14ac:dyDescent="0.2">
      <c r="A5">
        <v>0.05</v>
      </c>
      <c r="B5">
        <v>1.35</v>
      </c>
      <c r="C5">
        <v>0.85</v>
      </c>
      <c r="D5">
        <v>0.35</v>
      </c>
      <c r="E5">
        <v>0.4</v>
      </c>
      <c r="F5">
        <v>1.45</v>
      </c>
      <c r="G5">
        <v>1.2</v>
      </c>
    </row>
    <row r="6" spans="1:8" x14ac:dyDescent="0.2">
      <c r="A6">
        <v>0.01</v>
      </c>
      <c r="B6">
        <v>0.22</v>
      </c>
      <c r="C6">
        <v>0.06</v>
      </c>
      <c r="D6">
        <v>7.0000000000000007E-2</v>
      </c>
      <c r="E6">
        <v>0.06</v>
      </c>
      <c r="F6">
        <v>0.05</v>
      </c>
      <c r="G6">
        <v>0.05</v>
      </c>
    </row>
    <row r="7" spans="1:8" x14ac:dyDescent="0.2">
      <c r="A7">
        <v>1E-3</v>
      </c>
      <c r="B7">
        <v>7.0000000000000001E-3</v>
      </c>
      <c r="C7">
        <v>5.0000000000000001E-3</v>
      </c>
      <c r="D7">
        <v>6.0000000000000001E-3</v>
      </c>
      <c r="E7">
        <v>4.0000000000000001E-3</v>
      </c>
      <c r="F7">
        <v>5.0000000000000001E-3</v>
      </c>
      <c r="G7">
        <v>3.0000000000000001E-3</v>
      </c>
    </row>
    <row r="8" spans="1:8" x14ac:dyDescent="0.2">
      <c r="H8" s="3" t="s">
        <v>7</v>
      </c>
    </row>
    <row r="10" spans="1:8" x14ac:dyDescent="0.2">
      <c r="A10" t="s">
        <v>23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</row>
    <row r="11" spans="1:8" x14ac:dyDescent="0.2">
      <c r="A11">
        <v>0.1</v>
      </c>
      <c r="B11">
        <v>2.2999999999999998</v>
      </c>
      <c r="C11">
        <v>1.7</v>
      </c>
      <c r="D11">
        <v>1.7</v>
      </c>
      <c r="E11">
        <v>1.7</v>
      </c>
      <c r="F11">
        <v>1.6</v>
      </c>
      <c r="G11">
        <v>1.4</v>
      </c>
    </row>
    <row r="12" spans="1:8" x14ac:dyDescent="0.2">
      <c r="A12">
        <v>0.01</v>
      </c>
      <c r="B12">
        <v>0.22</v>
      </c>
      <c r="C12">
        <v>0.06</v>
      </c>
      <c r="D12">
        <v>7.0000000000000007E-2</v>
      </c>
      <c r="E12">
        <v>0.06</v>
      </c>
      <c r="F12">
        <v>0.05</v>
      </c>
      <c r="G12">
        <v>0.05</v>
      </c>
    </row>
    <row r="13" spans="1:8" x14ac:dyDescent="0.2">
      <c r="A13">
        <v>1E-3</v>
      </c>
      <c r="B13">
        <v>7.0000000000000001E-3</v>
      </c>
      <c r="C13">
        <v>5.0000000000000001E-3</v>
      </c>
      <c r="D13">
        <v>6.0000000000000001E-3</v>
      </c>
      <c r="E13">
        <v>4.0000000000000001E-3</v>
      </c>
      <c r="F13">
        <v>5.0000000000000001E-3</v>
      </c>
      <c r="G13">
        <v>3.0000000000000001E-3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eps0.5</vt:lpstr>
      <vt:lpstr>eps0.5_peddle</vt:lpstr>
      <vt:lpstr>eps0.1</vt:lpstr>
      <vt:lpstr>eps0.1_peddle</vt:lpstr>
      <vt:lpstr>eps0.05</vt:lpstr>
      <vt:lpstr>eps0.05_peddle</vt:lpstr>
      <vt:lpstr>eps0.01</vt:lpstr>
      <vt:lpstr>eps0.01_peddle</vt:lpstr>
      <vt:lpstr>eps0.001</vt:lpstr>
      <vt:lpstr>eps0.001_peddle</vt:lpstr>
      <vt:lpstr>all comparisons</vt:lpstr>
      <vt:lpstr>etaC_epsilon_plot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2026-04-28T13:58:22Z</dcterms:modified>
</cp:coreProperties>
</file>